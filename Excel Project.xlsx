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06208C1B-3CD9-4297-895B-BF39D7513E47}" xr6:coauthVersionLast="47" xr6:coauthVersionMax="47" xr10:uidLastSave="{00000000-0000-0000-0000-000000000000}"/>
  <bookViews>
    <workbookView xWindow="-108" yWindow="-108" windowWidth="23256" windowHeight="12456" activeTab="1" xr2:uid="{8685ABC3-E394-449A-9CE2-E80559701848}"/>
  </bookViews>
  <sheets>
    <sheet name="Piviot Report" sheetId="1" r:id="rId1"/>
    <sheet name="Dashboard" sheetId="4" r:id="rId2"/>
  </sheets>
  <definedNames>
    <definedName name="Slicer_Date__Month">#N/A</definedName>
    <definedName name="Slicer_Date__Year">#N/A</definedName>
  </definedNames>
  <calcPr calcId="191029"/>
  <pivotCaches>
    <pivotCache cacheId="104" r:id="rId3"/>
    <pivotCache cacheId="107" r:id="rId4"/>
    <pivotCache cacheId="110" r:id="rId5"/>
    <pivotCache cacheId="113" r:id="rId6"/>
    <pivotCache cacheId="116" r:id="rId7"/>
    <pivotCache cacheId="119" r:id="rId8"/>
    <pivotCache cacheId="122" r:id="rId9"/>
    <pivotCache cacheId="125" r:id="rId10"/>
    <pivotCache cacheId="128" r:id="rId11"/>
    <pivotCache cacheId="131" r:id="rId12"/>
  </pivotCaches>
  <extLst>
    <ext xmlns:x14="http://schemas.microsoft.com/office/spreadsheetml/2009/9/main" uri="{876F7934-8845-4945-9796-88D515C7AA90}">
      <x14:pivotCaches>
        <pivotCache cacheId="10" r:id="rId13"/>
        <pivotCache cacheId="11"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af516db-5c52-474e-806c-cd958288411e" name="Hospital Emergency Room Data" connection="Query - Hospital Emergency Room Data"/>
          <x15:modelTable id="Calendar_Table_65b4d857-90d8-44a1-924a-150c2286ca5c"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E1C9C6-00CD-43FD-A0F9-37F7525B83EF}" name="Query - Calendar_Table" description="Connection to the 'Calendar_Table' query in the workbook." type="100" refreshedVersion="8" minRefreshableVersion="5">
    <extLst>
      <ext xmlns:x15="http://schemas.microsoft.com/office/spreadsheetml/2010/11/main" uri="{DE250136-89BD-433C-8126-D09CA5730AF9}">
        <x15:connection id="316aaeab-9ee8-48c8-ae71-3165fb885dc5"/>
      </ext>
    </extLst>
  </connection>
  <connection id="2" xr16:uid="{82F19A5C-1687-44D4-9FA8-E7EEF3B5242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239e4352-66c8-4df1-ab47-0a898faa9442"/>
      </ext>
    </extLst>
  </connection>
  <connection id="3" xr16:uid="{0F620A60-8B36-4464-A27A-91EBAA39135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<sst xmlns="http://schemas.openxmlformats.org/spreadsheetml/2006/main" count="83" uniqueCount="67">
  <si>
    <t>Distinct Count of Patient Id</t>
  </si>
  <si>
    <t>No. Of Patient</t>
  </si>
  <si>
    <t>Male</t>
  </si>
  <si>
    <t>None</t>
  </si>
  <si>
    <t>Admitted</t>
  </si>
  <si>
    <t>10-19</t>
  </si>
  <si>
    <t>Delay</t>
  </si>
  <si>
    <t>60-69</t>
  </si>
  <si>
    <t>20-29</t>
  </si>
  <si>
    <t>50-59</t>
  </si>
  <si>
    <t>0-09</t>
  </si>
  <si>
    <t>Ontime</t>
  </si>
  <si>
    <t>40-49</t>
  </si>
  <si>
    <t>70-79</t>
  </si>
  <si>
    <t>30-39</t>
  </si>
  <si>
    <t>Female</t>
  </si>
  <si>
    <t>Not Admitted</t>
  </si>
  <si>
    <t>Average of Patient Waittime</t>
  </si>
  <si>
    <t>Average of Patient Satisfaction Score</t>
  </si>
  <si>
    <t>Row Labels</t>
  </si>
  <si>
    <t>Grand Total</t>
  </si>
  <si>
    <t>Count of Patient Admission Flag</t>
  </si>
  <si>
    <t>Count of Patient Admission Flag2</t>
  </si>
  <si>
    <t>Admission Status</t>
  </si>
  <si>
    <t>%Status</t>
  </si>
  <si>
    <t>Count of Age Group</t>
  </si>
  <si>
    <t>Count of Patient Attend Status</t>
  </si>
  <si>
    <t>Count of Patient Gender</t>
  </si>
  <si>
    <t>Cardiology</t>
  </si>
  <si>
    <t>Gastroenterology</t>
  </si>
  <si>
    <t>General Practice</t>
  </si>
  <si>
    <t>Neurology</t>
  </si>
  <si>
    <t>Orthopedics</t>
  </si>
  <si>
    <t>Physiotherapy</t>
  </si>
  <si>
    <t>Renal</t>
  </si>
  <si>
    <t>Count of Department Referral</t>
  </si>
  <si>
    <t>2023</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</si>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</sst>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1" tint="0.34998626667073579"/>
        <bgColor indexed="64"/>
      </patternFill>
    </fill>
    <fill>
      <patternFill patternType="solid">
        <fgColor theme="4" tint="0.59999389629810485"/>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1">
    <xf numFmtId="0" fontId="0" fillId="0" borderId="0" xfId="0"/>
    <xf numFmtId="0" fontId="1" fillId="2" borderId="1" xfId="0" applyFont="1" applyFill="1" applyBorder="1"/>
    <xf numFmtId="0" fontId="0" fillId="0" borderId="0" xfId="0" pivotButton="1"/>
    <xf numFmtId="0" fontId="0" fillId="3" borderId="0" xfId="0" applyFill="1"/>
    <xf numFmtId="0" fontId="0" fillId="0" borderId="0" xfId="0" applyAlignment="1">
      <alignment horizontal="left"/>
    </xf>
    <xf numFmtId="0" fontId="1" fillId="2" borderId="2" xfId="0" applyFont="1" applyFill="1" applyBorder="1"/>
    <xf numFmtId="10" fontId="0" fillId="0" borderId="0" xfId="0" applyNumberFormat="1"/>
    <xf numFmtId="0" fontId="1" fillId="4" borderId="0" xfId="0" applyFont="1" applyFill="1" applyAlignment="1">
      <alignment horizontal="center"/>
    </xf>
    <xf numFmtId="0" fontId="1" fillId="4" borderId="0" xfId="0" applyFont="1" applyFill="1"/>
    <xf numFmtId="0" fontId="0" fillId="4" borderId="0" xfId="0" applyFill="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Project.xlsx]Piviot Report!PivotTable12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41FE56B-2010-4A9B-8060-547E2959909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05A2D60-903C-486C-8EEF-BC3C8699485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3.0140167000935525E-2"/>
          <c:y val="7.3509774304415409E-2"/>
          <c:w val="0.71550693770791152"/>
          <c:h val="0.77145993321413053"/>
        </c:manualLayout>
      </c:layout>
      <c:barChart>
        <c:barDir val="bar"/>
        <c:grouping val="clustered"/>
        <c:varyColors val="0"/>
        <c:ser>
          <c:idx val="0"/>
          <c:order val="0"/>
          <c:tx>
            <c:strRef>
              <c:f>'Piviot Report'!$C$47:$C$48</c:f>
              <c:strCache>
                <c:ptCount val="1"/>
                <c:pt idx="0">
                  <c:v>Count of Patient Admission Flag</c:v>
                </c:pt>
              </c:strCache>
            </c:strRef>
          </c:tx>
          <c:spPr>
            <a:solidFill>
              <a:schemeClr val="accent1"/>
            </a:solidFill>
            <a:ln>
              <a:noFill/>
            </a:ln>
            <a:effectLst/>
          </c:spPr>
          <c:invertIfNegative val="0"/>
          <c:dLbls>
            <c:dLbl>
              <c:idx val="0"/>
              <c:tx>
                <c:rich>
                  <a:bodyPr/>
                  <a:lstStyle/>
                  <a:p>
                    <a:fld id="{741FE56B-2010-4A9B-8060-547E295990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1"/>
              <c:tx>
                <c:rich>
                  <a:bodyPr/>
                  <a:lstStyle/>
                  <a:p>
                    <a:fld id="{B05A2D60-903C-486C-8EEF-BC3C869948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'Piviot Report'!$C$47:$C$48</c:f>
              <c:strCache>
                <c:ptCount val="2"/>
                <c:pt idx="0">
                  <c:v>Admitted</c:v>
                </c:pt>
                <c:pt idx="1">
                  <c:v>Not Admitted</c:v>
                </c:pt>
              </c:strCache>
            </c:strRef>
          </c:cat>
          <c:val>
            <c:numRef>
              <c:f>'Piviot Report'!$C$47:$C$48</c:f>
              <c:numCache>
                <c:formatCode>General</c:formatCode>
                <c:ptCount val="2"/>
                <c:pt idx="0">
                  <c:v>249</c:v>
                </c:pt>
                <c:pt idx="1">
                  <c:v>220</c:v>
                </c:pt>
              </c:numCache>
            </c:numRef>
          </c:val>
          <c:extLst>
            <c:ext xmlns:c16="http://schemas.microsoft.com/office/drawing/2014/chart" uri="{C3380CC4-5D6E-409C-BE32-E72D297353CC}">
              <c16:uniqueId val="{00000001-5FB5-4C3C-8BE5-9F6920D7E489}"/>
            </c:ext>
          </c:extLst>
        </c:ser>
        <c:ser>
          <c:idx val="1"/>
          <c:order val="1"/>
          <c:tx>
            <c:strRef>
              <c:f>'Piviot Report'!$C$47:$C$48</c:f>
              <c:strCache>
                <c:ptCount val="1"/>
                <c:pt idx="0">
                  <c:v>Count of Patient Admission Flag2</c:v>
                </c:pt>
              </c:strCache>
            </c:strRef>
          </c:tx>
          <c:spPr>
            <a:solidFill>
              <a:schemeClr val="accent2"/>
            </a:solidFill>
            <a:ln>
              <a:noFill/>
            </a:ln>
            <a:effectLst/>
          </c:spPr>
          <c:invertIfNegative val="0"/>
          <c:cat>
            <c:strRef>
              <c:f>'Piviot Report'!$C$47:$C$48</c:f>
              <c:strCache>
                <c:ptCount val="2"/>
                <c:pt idx="0">
                  <c:v>Admitted</c:v>
                </c:pt>
                <c:pt idx="1">
                  <c:v>Not Admitted</c:v>
                </c:pt>
              </c:strCache>
            </c:strRef>
          </c:cat>
          <c:val>
            <c:numRef>
              <c:f>'Piviot Report'!$C$47:$C$48</c:f>
              <c:numCache>
                <c:formatCode>0.00%</c:formatCode>
                <c:ptCount val="2"/>
                <c:pt idx="0">
                  <c:v>0.53091684434968012</c:v>
                </c:pt>
                <c:pt idx="1">
                  <c:v>0.46908315565031983</c:v>
                </c:pt>
              </c:numCache>
            </c:numRef>
          </c:val>
          <c:extLst>
            <c:ext xmlns:c16="http://schemas.microsoft.com/office/drawing/2014/chart" uri="{C3380CC4-5D6E-409C-BE32-E72D297353CC}">
              <c16:uniqueId val="{00000002-5FB5-4C3C-8BE5-9F6920D7E489}"/>
            </c:ext>
          </c:extLst>
        </c:ser>
        <c:dLbls>
          <c:showLegendKey val="0"/>
          <c:showVal val="0"/>
          <c:showCatName val="0"/>
          <c:showSerName val="0"/>
          <c:showPercent val="0"/>
          <c:showBubbleSize val="0"/>
        </c:dLbls>
        <c:gapWidth val="0"/>
        <c:overlap val="40"/>
        <c:axId val="1621653823"/>
        <c:axId val="1621670623"/>
      </c:barChart>
      <c:catAx>
        <c:axId val="1621653823"/>
        <c:scaling>
          <c:orientation val="minMax"/>
        </c:scaling>
        <c:delete val="1"/>
        <c:axPos val="l"/>
        <c:numFmt formatCode="General" sourceLinked="1"/>
        <c:majorTickMark val="none"/>
        <c:minorTickMark val="none"/>
        <c:tickLblPos val="nextTo"/>
        <c:crossAx val="1621670623"/>
        <c:crosses val="autoZero"/>
        <c:auto val="1"/>
        <c:lblAlgn val="ctr"/>
        <c:lblOffset val="100"/>
        <c:noMultiLvlLbl val="0"/>
      </c:catAx>
      <c:valAx>
        <c:axId val="162167062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2165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Project.xlsx]Piviot Report!PivotTable13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 Report'!$B$57</c:f>
              <c:strCache>
                <c:ptCount val="1"/>
                <c:pt idx="0">
                  <c:v>Total</c:v>
                </c:pt>
              </c:strCache>
            </c:strRef>
          </c:tx>
          <c:spPr>
            <a:solidFill>
              <a:schemeClr val="accent1"/>
            </a:solidFill>
            <a:ln>
              <a:noFill/>
            </a:ln>
            <a:effectLst/>
          </c:spPr>
          <c:invertIfNegative val="0"/>
          <c:cat>
            <c:strRef>
              <c:f>'Piviot Report'!$A$58:$A$66</c:f>
              <c:strCache>
                <c:ptCount val="8"/>
                <c:pt idx="0">
                  <c:v>0-09</c:v>
                </c:pt>
                <c:pt idx="1">
                  <c:v>10-19</c:v>
                </c:pt>
                <c:pt idx="2">
                  <c:v>20-29</c:v>
                </c:pt>
                <c:pt idx="3">
                  <c:v>30-39</c:v>
                </c:pt>
                <c:pt idx="4">
                  <c:v>40-49</c:v>
                </c:pt>
                <c:pt idx="5">
                  <c:v>50-59</c:v>
                </c:pt>
                <c:pt idx="6">
                  <c:v>60-69</c:v>
                </c:pt>
                <c:pt idx="7">
                  <c:v>70-79</c:v>
                </c:pt>
              </c:strCache>
            </c:strRef>
          </c:cat>
          <c:val>
            <c:numRef>
              <c:f>'Piviot Report'!$B$58:$B$66</c:f>
              <c:numCache>
                <c:formatCode>General</c:formatCode>
                <c:ptCount val="8"/>
                <c:pt idx="0">
                  <c:v>61</c:v>
                </c:pt>
                <c:pt idx="1">
                  <c:v>56</c:v>
                </c:pt>
                <c:pt idx="2">
                  <c:v>58</c:v>
                </c:pt>
                <c:pt idx="3">
                  <c:v>56</c:v>
                </c:pt>
                <c:pt idx="4">
                  <c:v>66</c:v>
                </c:pt>
                <c:pt idx="5">
                  <c:v>62</c:v>
                </c:pt>
                <c:pt idx="6">
                  <c:v>58</c:v>
                </c:pt>
                <c:pt idx="7">
                  <c:v>52</c:v>
                </c:pt>
              </c:numCache>
            </c:numRef>
          </c:val>
          <c:extLst>
            <c:ext xmlns:c16="http://schemas.microsoft.com/office/drawing/2014/chart" uri="{C3380CC4-5D6E-409C-BE32-E72D297353CC}">
              <c16:uniqueId val="{00000000-300F-480E-A823-00B528C954E4}"/>
            </c:ext>
          </c:extLst>
        </c:ser>
        <c:dLbls>
          <c:showLegendKey val="0"/>
          <c:showVal val="0"/>
          <c:showCatName val="0"/>
          <c:showSerName val="0"/>
          <c:showPercent val="0"/>
          <c:showBubbleSize val="0"/>
        </c:dLbls>
        <c:gapWidth val="219"/>
        <c:overlap val="-27"/>
        <c:axId val="626720464"/>
        <c:axId val="626720944"/>
      </c:barChart>
      <c:catAx>
        <c:axId val="62672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720944"/>
        <c:crosses val="autoZero"/>
        <c:auto val="1"/>
        <c:lblAlgn val="ctr"/>
        <c:lblOffset val="100"/>
        <c:noMultiLvlLbl val="0"/>
      </c:catAx>
      <c:valAx>
        <c:axId val="62672094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2672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Project.xlsx]Piviot Report!PivotTable13</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 Report'!$B$57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 Report'!$A$58:$A$66</c:f>
              <c:strCache>
                <c:ptCount val="8"/>
                <c:pt idx="0">
                  <c:v>0-09</c:v>
                </c:pt>
                <c:pt idx="1">
                  <c:v>10-19</c:v>
                </c:pt>
                <c:pt idx="2">
                  <c:v>20-29</c:v>
                </c:pt>
                <c:pt idx="3">
                  <c:v>30-39</c:v>
                </c:pt>
                <c:pt idx="4">
                  <c:v>40-49</c:v>
                </c:pt>
                <c:pt idx="5">
                  <c:v>50-59</c:v>
                </c:pt>
                <c:pt idx="6">
                  <c:v>60-69</c:v>
                </c:pt>
                <c:pt idx="7">
                  <c:v>70-79</c:v>
                </c:pt>
              </c:strCache>
            </c:strRef>
          </c:cat>
          <c:val>
            <c:numRef>
              <c:f>'Piviot Report'!$B$58:$B$66</c:f>
              <c:numCache>
                <c:formatCode>General</c:formatCode>
                <c:ptCount val="8"/>
                <c:pt idx="0">
                  <c:v>61</c:v>
                </c:pt>
                <c:pt idx="1">
                  <c:v>56</c:v>
                </c:pt>
                <c:pt idx="2">
                  <c:v>58</c:v>
                </c:pt>
                <c:pt idx="3">
                  <c:v>56</c:v>
                </c:pt>
                <c:pt idx="4">
                  <c:v>66</c:v>
                </c:pt>
                <c:pt idx="5">
                  <c:v>62</c:v>
                </c:pt>
                <c:pt idx="6">
                  <c:v>58</c:v>
                </c:pt>
                <c:pt idx="7">
                  <c:v>52</c:v>
                </c:pt>
              </c:numCache>
            </c:numRef>
          </c:val>
          <c:extLst>
            <c:ext xmlns:c16="http://schemas.microsoft.com/office/drawing/2014/chart" uri="{C3380CC4-5D6E-409C-BE32-E72D297353CC}">
              <c16:uniqueId val="{00000000-A990-43CF-AD80-6F4913BFFFF4}"/>
            </c:ext>
          </c:extLst>
        </c:ser>
        <c:dLbls>
          <c:showLegendKey val="0"/>
          <c:showVal val="0"/>
          <c:showCatName val="0"/>
          <c:showSerName val="0"/>
          <c:showPercent val="0"/>
          <c:showBubbleSize val="0"/>
        </c:dLbls>
        <c:gapWidth val="100"/>
        <c:overlap val="-24"/>
        <c:axId val="626720464"/>
        <c:axId val="626720944"/>
      </c:barChart>
      <c:catAx>
        <c:axId val="6267204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720944"/>
        <c:crosses val="autoZero"/>
        <c:auto val="1"/>
        <c:lblAlgn val="ctr"/>
        <c:lblOffset val="100"/>
        <c:noMultiLvlLbl val="0"/>
      </c:catAx>
      <c:valAx>
        <c:axId val="62672094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2672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Project.xlsx]Piviot Report!PivotTable14</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1.3442560137979691E-2"/>
          <c:y val="4.2678998284802004E-2"/>
          <c:w val="0.71386615910495821"/>
          <c:h val="0.89911900058973648"/>
        </c:manualLayout>
      </c:layout>
      <c:pieChart>
        <c:varyColors val="1"/>
        <c:ser>
          <c:idx val="0"/>
          <c:order val="0"/>
          <c:tx>
            <c:strRef>
              <c:f>'Piviot Report'!$B$74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'Piviot Report'!$A$75:$A$77</c:f>
              <c:strCache>
                <c:ptCount val="2"/>
                <c:pt idx="0">
                  <c:v>Delay</c:v>
                </c:pt>
                <c:pt idx="1">
                  <c:v>Ontime</c:v>
                </c:pt>
              </c:strCache>
            </c:strRef>
          </c:cat>
          <c:val>
            <c:numRef>
              <c:f>'Piviot Report'!$B$75:$B$77</c:f>
              <c:numCache>
                <c:formatCode>General</c:formatCode>
                <c:ptCount val="2"/>
                <c:pt idx="0">
                  <c:v>257</c:v>
                </c:pt>
                <c:pt idx="1">
                  <c:v>212</c:v>
                </c:pt>
              </c:numCache>
            </c:numRef>
          </c:val>
          <c:extLst>
            <c:ext xmlns:c16="http://schemas.microsoft.com/office/drawing/2014/chart" uri="{C3380CC4-5D6E-409C-BE32-E72D297353CC}">
              <c16:uniqueId val="{00000004-3242-4E74-872F-AD47EE3749C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8809912323495204"/>
          <c:y val="0.67094454284988658"/>
          <c:w val="0.29706732344742953"/>
          <c:h val="0.2877348769486790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Project.xlsx]Piviot Report!PivotTable15</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1.7561703022540003E-2"/>
          <c:y val="6.3886929029956643E-2"/>
          <c:w val="0.5737932090049972"/>
          <c:h val="0.84875654042327298"/>
        </c:manualLayout>
      </c:layout>
      <c:doughnutChart>
        <c:varyColors val="1"/>
        <c:ser>
          <c:idx val="0"/>
          <c:order val="0"/>
          <c:tx>
            <c:strRef>
              <c:f>'Piviot Report'!$B$80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'Piviot Report'!$A$81:$A$83</c:f>
              <c:strCache>
                <c:ptCount val="2"/>
                <c:pt idx="0">
                  <c:v>Female</c:v>
                </c:pt>
                <c:pt idx="1">
                  <c:v>Male</c:v>
                </c:pt>
              </c:strCache>
            </c:strRef>
          </c:cat>
          <c:val>
            <c:numRef>
              <c:f>'Piviot Report'!$B$81:$B$83</c:f>
              <c:numCache>
                <c:formatCode>General</c:formatCode>
                <c:ptCount val="2"/>
                <c:pt idx="0">
                  <c:v>219</c:v>
                </c:pt>
                <c:pt idx="1">
                  <c:v>250</c:v>
                </c:pt>
              </c:numCache>
            </c:numRef>
          </c:val>
          <c:extLst>
            <c:ext xmlns:c16="http://schemas.microsoft.com/office/drawing/2014/chart" uri="{C3380CC4-5D6E-409C-BE32-E72D297353CC}">
              <c16:uniqueId val="{00000004-1E4C-4DCF-82A3-24E948BDBD6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58352555567886999"/>
          <c:y val="8.8146977837683244E-2"/>
          <c:w val="0.28235489612258569"/>
          <c:h val="0.3070966503145636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Project.xlsx]Piviot Report!PivotTable16</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'Piviot Report'!$B$86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 Report'!$A$87:$A$95</c:f>
              <c:strCache>
                <c:ptCount val="8"/>
                <c:pt idx="0">
                  <c:v>None</c:v>
                </c:pt>
                <c:pt idx="1">
                  <c:v>General Practice</c:v>
                </c:pt>
                <c:pt idx="2">
                  <c:v>Orthopedics</c:v>
                </c:pt>
                <c:pt idx="3">
                  <c:v>Physiotherapy</c:v>
                </c:pt>
                <c:pt idx="4">
                  <c:v>Cardiology</c:v>
                </c:pt>
                <c:pt idx="5">
                  <c:v>Gastroenterology</c:v>
                </c:pt>
                <c:pt idx="6">
                  <c:v>Neurology</c:v>
                </c:pt>
                <c:pt idx="7">
                  <c:v>Renal</c:v>
                </c:pt>
              </c:strCache>
            </c:strRef>
          </c:cat>
          <c:val>
            <c:numRef>
              <c:f>'Piviot Report'!$B$87:$B$95</c:f>
              <c:numCache>
                <c:formatCode>General</c:formatCode>
                <c:ptCount val="8"/>
                <c:pt idx="0">
                  <c:v>260</c:v>
                </c:pt>
                <c:pt idx="1">
                  <c:v>107</c:v>
                </c:pt>
                <c:pt idx="2">
                  <c:v>48</c:v>
                </c:pt>
                <c:pt idx="3">
                  <c:v>17</c:v>
                </c:pt>
                <c:pt idx="4">
                  <c:v>13</c:v>
                </c:pt>
                <c:pt idx="5">
                  <c:v>11</c:v>
                </c:pt>
                <c:pt idx="6">
                  <c:v>7</c:v>
                </c:pt>
                <c:pt idx="7">
                  <c:v>6</c:v>
                </c:pt>
              </c:numCache>
            </c:numRef>
          </c:val>
          <c:extLst>
            <c:ext xmlns:c16="http://schemas.microsoft.com/office/drawing/2014/chart" uri="{C3380CC4-5D6E-409C-BE32-E72D297353CC}">
              <c16:uniqueId val="{00000000-53E1-47CC-BB8A-06C6C155864D}"/>
            </c:ext>
          </c:extLst>
        </c:ser>
        <c:dLbls>
          <c:showLegendKey val="0"/>
          <c:showVal val="0"/>
          <c:showCatName val="0"/>
          <c:showSerName val="0"/>
          <c:showPercent val="0"/>
          <c:showBubbleSize val="0"/>
        </c:dLbls>
        <c:gapWidth val="182"/>
        <c:axId val="585430064"/>
        <c:axId val="585431504"/>
      </c:barChart>
      <c:catAx>
        <c:axId val="585430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431504"/>
        <c:crosses val="autoZero"/>
        <c:auto val="1"/>
        <c:lblAlgn val="ctr"/>
        <c:lblOffset val="100"/>
        <c:noMultiLvlLbl val="0"/>
      </c:catAx>
      <c:valAx>
        <c:axId val="585431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43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emf"/><Relationship Id="rId7" Type="http://schemas.openxmlformats.org/officeDocument/2006/relationships/chart" Target="../charts/chart6.xml"/><Relationship Id="rId2" Type="http://schemas.openxmlformats.org/officeDocument/2006/relationships/hyperlink" Target="https://groundup.org.za/article/black-donors-needed-help-save-lives/" TargetMode="Externa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4</xdr:col>
      <xdr:colOff>596199</xdr:colOff>
      <xdr:row>1</xdr:row>
      <xdr:rowOff>154502</xdr:rowOff>
    </xdr:from>
    <xdr:to>
      <xdr:col>7</xdr:col>
      <xdr:colOff>592258</xdr:colOff>
      <xdr:row>15</xdr:row>
      <xdr:rowOff>46442</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8EFB3C94-DEBD-B42B-AEFE-663E7AD7325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7158216" y="337130"/>
              <a:ext cx="1828637" cy="24487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1409</xdr:colOff>
      <xdr:row>52</xdr:row>
      <xdr:rowOff>181910</xdr:rowOff>
    </xdr:from>
    <xdr:to>
      <xdr:col>3</xdr:col>
      <xdr:colOff>1949436</xdr:colOff>
      <xdr:row>54</xdr:row>
      <xdr:rowOff>180063</xdr:rowOff>
    </xdr:to>
    <xdr:graphicFrame macro="">
      <xdr:nvGraphicFramePr>
        <xdr:cNvPr id="6" name="Chart 5">
          <a:extLst>
            <a:ext uri="{FF2B5EF4-FFF2-40B4-BE49-F238E27FC236}">
              <a16:creationId xmlns:a16="http://schemas.microsoft.com/office/drawing/2014/main" id="{7ECCE4CF-4E9E-123C-2F54-75DEEC7682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396745</xdr:colOff>
      <xdr:row>55</xdr:row>
      <xdr:rowOff>152400</xdr:rowOff>
    </xdr:from>
    <xdr:to>
      <xdr:col>6</xdr:col>
      <xdr:colOff>566778</xdr:colOff>
      <xdr:row>70</xdr:row>
      <xdr:rowOff>156178</xdr:rowOff>
    </xdr:to>
    <xdr:graphicFrame macro="">
      <xdr:nvGraphicFramePr>
        <xdr:cNvPr id="7" name="Chart 6">
          <a:extLst>
            <a:ext uri="{FF2B5EF4-FFF2-40B4-BE49-F238E27FC236}">
              <a16:creationId xmlns:a16="http://schemas.microsoft.com/office/drawing/2014/main" id="{EEE7E746-574E-B6F8-FB7D-44DC5CF27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68580</xdr:colOff>
      <xdr:row>0</xdr:row>
      <xdr:rowOff>60960</xdr:rowOff>
    </xdr:from>
    <xdr:to>
      <xdr:col>5</xdr:col>
      <xdr:colOff>198120</xdr:colOff>
      <xdr:row>3</xdr:row>
      <xdr:rowOff>121920</xdr:rowOff>
    </xdr:to>
    <xdr:sp macro="" textlink="">
      <xdr:nvSpPr>
        <xdr:cNvPr id="2" name="Rectangle: Rounded Corners 1">
          <a:extLst>
            <a:ext uri="{FF2B5EF4-FFF2-40B4-BE49-F238E27FC236}">
              <a16:creationId xmlns:a16="http://schemas.microsoft.com/office/drawing/2014/main" id="{21479980-E3CB-6655-976D-E4496113BDBF}"/>
            </a:ext>
          </a:extLst>
        </xdr:cNvPr>
        <xdr:cNvSpPr/>
      </xdr:nvSpPr>
      <xdr:spPr>
        <a:xfrm>
          <a:off x="68580" y="60960"/>
          <a:ext cx="3177540" cy="60960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205740</xdr:colOff>
      <xdr:row>0</xdr:row>
      <xdr:rowOff>53340</xdr:rowOff>
    </xdr:from>
    <xdr:to>
      <xdr:col>10</xdr:col>
      <xdr:colOff>289560</xdr:colOff>
      <xdr:row>9</xdr:row>
      <xdr:rowOff>91440</xdr:rowOff>
    </xdr:to>
    <xdr:sp macro="" textlink="">
      <xdr:nvSpPr>
        <xdr:cNvPr id="7" name="Rectangle: Rounded Corners 6">
          <a:extLst>
            <a:ext uri="{FF2B5EF4-FFF2-40B4-BE49-F238E27FC236}">
              <a16:creationId xmlns:a16="http://schemas.microsoft.com/office/drawing/2014/main" id="{21C95F6F-A76C-4C60-BC6B-D523CCDC7B05}"/>
            </a:ext>
          </a:extLst>
        </xdr:cNvPr>
        <xdr:cNvSpPr/>
      </xdr:nvSpPr>
      <xdr:spPr>
        <a:xfrm>
          <a:off x="4472940" y="53340"/>
          <a:ext cx="2057400" cy="168402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335280</xdr:colOff>
      <xdr:row>0</xdr:row>
      <xdr:rowOff>38100</xdr:rowOff>
    </xdr:from>
    <xdr:to>
      <xdr:col>13</xdr:col>
      <xdr:colOff>563880</xdr:colOff>
      <xdr:row>9</xdr:row>
      <xdr:rowOff>83820</xdr:rowOff>
    </xdr:to>
    <xdr:sp macro="" textlink="">
      <xdr:nvSpPr>
        <xdr:cNvPr id="10" name="Rectangle: Rounded Corners 9">
          <a:extLst>
            <a:ext uri="{FF2B5EF4-FFF2-40B4-BE49-F238E27FC236}">
              <a16:creationId xmlns:a16="http://schemas.microsoft.com/office/drawing/2014/main" id="{D0891DB4-02F6-47E1-ACAE-ACBE22E49BE7}"/>
            </a:ext>
          </a:extLst>
        </xdr:cNvPr>
        <xdr:cNvSpPr/>
      </xdr:nvSpPr>
      <xdr:spPr>
        <a:xfrm>
          <a:off x="6576060" y="38100"/>
          <a:ext cx="2057400" cy="169164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45720</xdr:colOff>
      <xdr:row>3</xdr:row>
      <xdr:rowOff>144780</xdr:rowOff>
    </xdr:from>
    <xdr:to>
      <xdr:col>1</xdr:col>
      <xdr:colOff>320040</xdr:colOff>
      <xdr:row>24</xdr:row>
      <xdr:rowOff>114300</xdr:rowOff>
    </xdr:to>
    <xdr:sp macro="" textlink="">
      <xdr:nvSpPr>
        <xdr:cNvPr id="11" name="Rectangle: Rounded Corners 10">
          <a:extLst>
            <a:ext uri="{FF2B5EF4-FFF2-40B4-BE49-F238E27FC236}">
              <a16:creationId xmlns:a16="http://schemas.microsoft.com/office/drawing/2014/main" id="{135B11E0-D4A3-43E0-BC79-7B38A9C077D9}"/>
            </a:ext>
          </a:extLst>
        </xdr:cNvPr>
        <xdr:cNvSpPr/>
      </xdr:nvSpPr>
      <xdr:spPr>
        <a:xfrm>
          <a:off x="45720" y="693420"/>
          <a:ext cx="883920" cy="381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411480</xdr:colOff>
      <xdr:row>3</xdr:row>
      <xdr:rowOff>152400</xdr:rowOff>
    </xdr:from>
    <xdr:to>
      <xdr:col>3</xdr:col>
      <xdr:colOff>220980</xdr:colOff>
      <xdr:row>9</xdr:row>
      <xdr:rowOff>106680</xdr:rowOff>
    </xdr:to>
    <xdr:sp macro="" textlink="">
      <xdr:nvSpPr>
        <xdr:cNvPr id="12" name="Rectangle: Rounded Corners 11">
          <a:extLst>
            <a:ext uri="{FF2B5EF4-FFF2-40B4-BE49-F238E27FC236}">
              <a16:creationId xmlns:a16="http://schemas.microsoft.com/office/drawing/2014/main" id="{7193682B-5E1F-4512-9625-8F0A9D697812}"/>
            </a:ext>
          </a:extLst>
        </xdr:cNvPr>
        <xdr:cNvSpPr/>
      </xdr:nvSpPr>
      <xdr:spPr>
        <a:xfrm>
          <a:off x="1021080" y="701040"/>
          <a:ext cx="1028700" cy="10515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259004</xdr:colOff>
      <xdr:row>3</xdr:row>
      <xdr:rowOff>137235</xdr:rowOff>
    </xdr:from>
    <xdr:to>
      <xdr:col>5</xdr:col>
      <xdr:colOff>198044</xdr:colOff>
      <xdr:row>9</xdr:row>
      <xdr:rowOff>91515</xdr:rowOff>
    </xdr:to>
    <xdr:sp macro="" textlink="">
      <xdr:nvSpPr>
        <xdr:cNvPr id="13" name="Rectangle: Rounded Corners 12">
          <a:extLst>
            <a:ext uri="{FF2B5EF4-FFF2-40B4-BE49-F238E27FC236}">
              <a16:creationId xmlns:a16="http://schemas.microsoft.com/office/drawing/2014/main" id="{057BF0E9-9D09-4038-69B0-3FCFAF28A15D}"/>
            </a:ext>
          </a:extLst>
        </xdr:cNvPr>
        <xdr:cNvSpPr/>
      </xdr:nvSpPr>
      <xdr:spPr>
        <a:xfrm>
          <a:off x="2092331" y="680443"/>
          <a:ext cx="1161258" cy="10406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228600</xdr:colOff>
      <xdr:row>3</xdr:row>
      <xdr:rowOff>160020</xdr:rowOff>
    </xdr:from>
    <xdr:to>
      <xdr:col>7</xdr:col>
      <xdr:colOff>99060</xdr:colOff>
      <xdr:row>9</xdr:row>
      <xdr:rowOff>99060</xdr:rowOff>
    </xdr:to>
    <xdr:sp macro="" textlink="">
      <xdr:nvSpPr>
        <xdr:cNvPr id="14" name="Rectangle: Rounded Corners 13">
          <a:extLst>
            <a:ext uri="{FF2B5EF4-FFF2-40B4-BE49-F238E27FC236}">
              <a16:creationId xmlns:a16="http://schemas.microsoft.com/office/drawing/2014/main" id="{62B8B39E-858E-400D-8FBD-91DA5F9C8624}"/>
            </a:ext>
          </a:extLst>
        </xdr:cNvPr>
        <xdr:cNvSpPr/>
      </xdr:nvSpPr>
      <xdr:spPr>
        <a:xfrm>
          <a:off x="3276600" y="708660"/>
          <a:ext cx="1089660" cy="10363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414950</xdr:colOff>
      <xdr:row>10</xdr:row>
      <xdr:rowOff>90535</xdr:rowOff>
    </xdr:from>
    <xdr:to>
      <xdr:col>7</xdr:col>
      <xdr:colOff>37724</xdr:colOff>
      <xdr:row>13</xdr:row>
      <xdr:rowOff>0</xdr:rowOff>
    </xdr:to>
    <xdr:sp macro="" textlink="">
      <xdr:nvSpPr>
        <xdr:cNvPr id="15" name="Rectangle: Rounded Corners 14">
          <a:extLst>
            <a:ext uri="{FF2B5EF4-FFF2-40B4-BE49-F238E27FC236}">
              <a16:creationId xmlns:a16="http://schemas.microsoft.com/office/drawing/2014/main" id="{281E2ACC-B397-454D-85CC-DC031E213597}"/>
            </a:ext>
          </a:extLst>
        </xdr:cNvPr>
        <xdr:cNvSpPr/>
      </xdr:nvSpPr>
      <xdr:spPr>
        <a:xfrm>
          <a:off x="1026059" y="1901228"/>
          <a:ext cx="3289427" cy="452673"/>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594360</xdr:colOff>
      <xdr:row>0</xdr:row>
      <xdr:rowOff>106680</xdr:rowOff>
    </xdr:from>
    <xdr:to>
      <xdr:col>5</xdr:col>
      <xdr:colOff>129540</xdr:colOff>
      <xdr:row>3</xdr:row>
      <xdr:rowOff>53340</xdr:rowOff>
    </xdr:to>
    <xdr:sp macro="" textlink="">
      <xdr:nvSpPr>
        <xdr:cNvPr id="18" name="TextBox 17">
          <a:extLst>
            <a:ext uri="{FF2B5EF4-FFF2-40B4-BE49-F238E27FC236}">
              <a16:creationId xmlns:a16="http://schemas.microsoft.com/office/drawing/2014/main" id="{CF187C52-7459-385B-BCD1-A9DD9F8C7431}"/>
            </a:ext>
          </a:extLst>
        </xdr:cNvPr>
        <xdr:cNvSpPr txBox="1"/>
      </xdr:nvSpPr>
      <xdr:spPr>
        <a:xfrm>
          <a:off x="594360" y="106680"/>
          <a:ext cx="2583180" cy="4953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Black" panose="020B0A04020102020204" pitchFamily="34" charset="0"/>
            </a:rPr>
            <a:t>Hospital Emergency Room Dashboard</a:t>
          </a:r>
        </a:p>
      </xdr:txBody>
    </xdr:sp>
    <xdr:clientData/>
  </xdr:twoCellAnchor>
  <xdr:twoCellAnchor editAs="oneCell">
    <xdr:from>
      <xdr:col>0</xdr:col>
      <xdr:colOff>129540</xdr:colOff>
      <xdr:row>0</xdr:row>
      <xdr:rowOff>106680</xdr:rowOff>
    </xdr:from>
    <xdr:to>
      <xdr:col>1</xdr:col>
      <xdr:colOff>64770</xdr:colOff>
      <xdr:row>3</xdr:row>
      <xdr:rowOff>45720</xdr:rowOff>
    </xdr:to>
    <xdr:pic>
      <xdr:nvPicPr>
        <xdr:cNvPr id="22" name="Picture 21">
          <a:extLst>
            <a:ext uri="{FF2B5EF4-FFF2-40B4-BE49-F238E27FC236}">
              <a16:creationId xmlns:a16="http://schemas.microsoft.com/office/drawing/2014/main" id="{031A39FE-E37E-5698-1EC3-C969F223A3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29540" y="106680"/>
          <a:ext cx="544830" cy="487680"/>
        </a:xfrm>
        <a:prstGeom prst="rect">
          <a:avLst/>
        </a:prstGeom>
      </xdr:spPr>
    </xdr:pic>
    <xdr:clientData/>
  </xdr:twoCellAnchor>
  <xdr:twoCellAnchor>
    <xdr:from>
      <xdr:col>1</xdr:col>
      <xdr:colOff>419100</xdr:colOff>
      <xdr:row>6</xdr:row>
      <xdr:rowOff>15240</xdr:rowOff>
    </xdr:from>
    <xdr:to>
      <xdr:col>3</xdr:col>
      <xdr:colOff>205740</xdr:colOff>
      <xdr:row>8</xdr:row>
      <xdr:rowOff>129540</xdr:rowOff>
    </xdr:to>
    <xdr:sp macro="" textlink="">
      <xdr:nvSpPr>
        <xdr:cNvPr id="24" name="TextBox 23">
          <a:extLst>
            <a:ext uri="{FF2B5EF4-FFF2-40B4-BE49-F238E27FC236}">
              <a16:creationId xmlns:a16="http://schemas.microsoft.com/office/drawing/2014/main" id="{BAAF6A59-78CC-1CF1-4496-716DBCCE29D8}"/>
            </a:ext>
          </a:extLst>
        </xdr:cNvPr>
        <xdr:cNvSpPr txBox="1"/>
      </xdr:nvSpPr>
      <xdr:spPr>
        <a:xfrm>
          <a:off x="1028700" y="1112520"/>
          <a:ext cx="1005840" cy="4800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a:solidFill>
                <a:schemeClr val="bg1"/>
              </a:solidFill>
              <a:latin typeface="Arial Black" panose="020B0A04020102020204" pitchFamily="34" charset="0"/>
            </a:rPr>
            <a:t>No.</a:t>
          </a:r>
          <a:r>
            <a:rPr lang="en-US" sz="1050" baseline="0">
              <a:solidFill>
                <a:schemeClr val="bg1"/>
              </a:solidFill>
              <a:latin typeface="Arial Black" panose="020B0A04020102020204" pitchFamily="34" charset="0"/>
            </a:rPr>
            <a:t> Of Patient</a:t>
          </a:r>
          <a:endParaRPr lang="en-US" sz="1050">
            <a:solidFill>
              <a:schemeClr val="bg1"/>
            </a:solidFill>
            <a:latin typeface="Arial Black" panose="020B0A04020102020204" pitchFamily="34" charset="0"/>
          </a:endParaRPr>
        </a:p>
      </xdr:txBody>
    </xdr:sp>
    <xdr:clientData/>
  </xdr:twoCellAnchor>
  <xdr:twoCellAnchor>
    <xdr:from>
      <xdr:col>1</xdr:col>
      <xdr:colOff>487680</xdr:colOff>
      <xdr:row>4</xdr:row>
      <xdr:rowOff>114300</xdr:rowOff>
    </xdr:from>
    <xdr:to>
      <xdr:col>3</xdr:col>
      <xdr:colOff>137160</xdr:colOff>
      <xdr:row>5</xdr:row>
      <xdr:rowOff>114300</xdr:rowOff>
    </xdr:to>
    <xdr:sp macro="" textlink="'Piviot Report'!A6">
      <xdr:nvSpPr>
        <xdr:cNvPr id="26" name="TextBox 25">
          <a:extLst>
            <a:ext uri="{FF2B5EF4-FFF2-40B4-BE49-F238E27FC236}">
              <a16:creationId xmlns:a16="http://schemas.microsoft.com/office/drawing/2014/main" id="{2B207174-0CC0-0F62-1CF0-DB5434AF5722}"/>
            </a:ext>
          </a:extLst>
        </xdr:cNvPr>
        <xdr:cNvSpPr txBox="1"/>
      </xdr:nvSpPr>
      <xdr:spPr>
        <a:xfrm>
          <a:off x="1097280" y="845820"/>
          <a:ext cx="868680" cy="182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FAA7AE5-96D3-4825-8461-537AF89BFE20}" type="TxLink">
            <a:rPr lang="en-US" sz="1100" b="0" i="0" u="none" strike="noStrike">
              <a:solidFill>
                <a:srgbClr val="000000"/>
              </a:solidFill>
              <a:latin typeface="Calibri"/>
              <a:ea typeface="Calibri"/>
              <a:cs typeface="Calibri"/>
            </a:rPr>
            <a:pPr algn="ctr"/>
            <a:t>469</a:t>
          </a:fld>
          <a:endParaRPr lang="en-US" sz="1100"/>
        </a:p>
      </xdr:txBody>
    </xdr:sp>
    <xdr:clientData/>
  </xdr:twoCellAnchor>
  <xdr:twoCellAnchor>
    <xdr:from>
      <xdr:col>3</xdr:col>
      <xdr:colOff>381000</xdr:colOff>
      <xdr:row>4</xdr:row>
      <xdr:rowOff>114300</xdr:rowOff>
    </xdr:from>
    <xdr:to>
      <xdr:col>5</xdr:col>
      <xdr:colOff>30480</xdr:colOff>
      <xdr:row>5</xdr:row>
      <xdr:rowOff>114300</xdr:rowOff>
    </xdr:to>
    <xdr:sp macro="" textlink="'Piviot Report'!A9">
      <xdr:nvSpPr>
        <xdr:cNvPr id="31" name="TextBox 30">
          <a:extLst>
            <a:ext uri="{FF2B5EF4-FFF2-40B4-BE49-F238E27FC236}">
              <a16:creationId xmlns:a16="http://schemas.microsoft.com/office/drawing/2014/main" id="{289844FD-7856-403E-121F-F508BB65ACD6}"/>
            </a:ext>
          </a:extLst>
        </xdr:cNvPr>
        <xdr:cNvSpPr txBox="1"/>
      </xdr:nvSpPr>
      <xdr:spPr>
        <a:xfrm>
          <a:off x="2209800" y="845820"/>
          <a:ext cx="868680" cy="182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084134E-1AC2-49A7-95C1-A72B7F66749B}" type="TxLink">
            <a:rPr lang="en-US" sz="1100" b="0" i="0" u="none" strike="noStrike">
              <a:solidFill>
                <a:srgbClr val="000000"/>
              </a:solidFill>
              <a:latin typeface="Calibri"/>
              <a:ea typeface="Calibri"/>
              <a:cs typeface="Calibri"/>
            </a:rPr>
            <a:pPr algn="ctr"/>
            <a:t>34.26865672</a:t>
          </a:fld>
          <a:endParaRPr lang="en-US" sz="1100"/>
        </a:p>
      </xdr:txBody>
    </xdr:sp>
    <xdr:clientData/>
  </xdr:twoCellAnchor>
  <xdr:twoCellAnchor>
    <xdr:from>
      <xdr:col>3</xdr:col>
      <xdr:colOff>266700</xdr:colOff>
      <xdr:row>6</xdr:row>
      <xdr:rowOff>15240</xdr:rowOff>
    </xdr:from>
    <xdr:to>
      <xdr:col>5</xdr:col>
      <xdr:colOff>175260</xdr:colOff>
      <xdr:row>8</xdr:row>
      <xdr:rowOff>137160</xdr:rowOff>
    </xdr:to>
    <xdr:sp macro="" textlink="">
      <xdr:nvSpPr>
        <xdr:cNvPr id="33" name="TextBox 32">
          <a:extLst>
            <a:ext uri="{FF2B5EF4-FFF2-40B4-BE49-F238E27FC236}">
              <a16:creationId xmlns:a16="http://schemas.microsoft.com/office/drawing/2014/main" id="{39B3E22D-1CB6-494F-6782-C79F72DA21E7}"/>
            </a:ext>
          </a:extLst>
        </xdr:cNvPr>
        <xdr:cNvSpPr txBox="1"/>
      </xdr:nvSpPr>
      <xdr:spPr>
        <a:xfrm>
          <a:off x="2095500" y="1112520"/>
          <a:ext cx="1127760" cy="4876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a:solidFill>
                <a:schemeClr val="bg1"/>
              </a:solidFill>
              <a:latin typeface="Arial Black" panose="020B0A04020102020204" pitchFamily="34" charset="0"/>
            </a:rPr>
            <a:t>Average Wait Time</a:t>
          </a:r>
        </a:p>
      </xdr:txBody>
    </xdr:sp>
    <xdr:clientData/>
  </xdr:twoCellAnchor>
  <xdr:twoCellAnchor>
    <xdr:from>
      <xdr:col>5</xdr:col>
      <xdr:colOff>335280</xdr:colOff>
      <xdr:row>4</xdr:row>
      <xdr:rowOff>121920</xdr:rowOff>
    </xdr:from>
    <xdr:to>
      <xdr:col>6</xdr:col>
      <xdr:colOff>594360</xdr:colOff>
      <xdr:row>5</xdr:row>
      <xdr:rowOff>121920</xdr:rowOff>
    </xdr:to>
    <xdr:sp macro="" textlink="'Piviot Report'!A13">
      <xdr:nvSpPr>
        <xdr:cNvPr id="36" name="TextBox 35">
          <a:extLst>
            <a:ext uri="{FF2B5EF4-FFF2-40B4-BE49-F238E27FC236}">
              <a16:creationId xmlns:a16="http://schemas.microsoft.com/office/drawing/2014/main" id="{05F591A9-0E9B-0B3E-AC02-D91BF1A88EC3}"/>
            </a:ext>
          </a:extLst>
        </xdr:cNvPr>
        <xdr:cNvSpPr txBox="1"/>
      </xdr:nvSpPr>
      <xdr:spPr>
        <a:xfrm>
          <a:off x="3383280" y="853440"/>
          <a:ext cx="868680" cy="182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AC2EBF4-38A9-4598-9361-D9FDCC2567EB}" type="TxLink">
            <a:rPr lang="en-US" sz="1100" b="0" i="0" u="none" strike="noStrike">
              <a:solidFill>
                <a:srgbClr val="000000"/>
              </a:solidFill>
              <a:latin typeface="Calibri"/>
              <a:ea typeface="Calibri"/>
              <a:cs typeface="Calibri"/>
            </a:rPr>
            <a:pPr algn="ctr"/>
            <a:t>4.983739837</a:t>
          </a:fld>
          <a:endParaRPr lang="en-US" sz="1100"/>
        </a:p>
      </xdr:txBody>
    </xdr:sp>
    <xdr:clientData/>
  </xdr:twoCellAnchor>
  <xdr:twoCellAnchor>
    <xdr:from>
      <xdr:col>5</xdr:col>
      <xdr:colOff>243840</xdr:colOff>
      <xdr:row>5</xdr:row>
      <xdr:rowOff>175260</xdr:rowOff>
    </xdr:from>
    <xdr:to>
      <xdr:col>7</xdr:col>
      <xdr:colOff>91440</xdr:colOff>
      <xdr:row>8</xdr:row>
      <xdr:rowOff>137160</xdr:rowOff>
    </xdr:to>
    <xdr:sp macro="" textlink="">
      <xdr:nvSpPr>
        <xdr:cNvPr id="39" name="TextBox 38">
          <a:extLst>
            <a:ext uri="{FF2B5EF4-FFF2-40B4-BE49-F238E27FC236}">
              <a16:creationId xmlns:a16="http://schemas.microsoft.com/office/drawing/2014/main" id="{CBCA9325-88E0-4AFC-F3E2-E0D57A022FC3}"/>
            </a:ext>
          </a:extLst>
        </xdr:cNvPr>
        <xdr:cNvSpPr txBox="1"/>
      </xdr:nvSpPr>
      <xdr:spPr>
        <a:xfrm>
          <a:off x="3291840" y="1089660"/>
          <a:ext cx="1066800" cy="51054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a:solidFill>
                <a:schemeClr val="bg1"/>
              </a:solidFill>
              <a:latin typeface="Arial Black" panose="020B0A04020102020204" pitchFamily="34" charset="0"/>
            </a:rPr>
            <a:t>Satisfaction</a:t>
          </a:r>
          <a:r>
            <a:rPr lang="en-US" sz="1050" baseline="0">
              <a:solidFill>
                <a:schemeClr val="bg1"/>
              </a:solidFill>
              <a:latin typeface="Arial Black" panose="020B0A04020102020204" pitchFamily="34" charset="0"/>
            </a:rPr>
            <a:t> Score</a:t>
          </a:r>
          <a:endParaRPr lang="en-US" sz="1050">
            <a:solidFill>
              <a:schemeClr val="bg1"/>
            </a:solidFill>
            <a:latin typeface="Arial Black" panose="020B0A04020102020204" pitchFamily="34" charset="0"/>
          </a:endParaRPr>
        </a:p>
      </xdr:txBody>
    </xdr:sp>
    <xdr:clientData/>
  </xdr:twoCellAnchor>
  <xdr:twoCellAnchor editAs="oneCell">
    <xdr:from>
      <xdr:col>0</xdr:col>
      <xdr:colOff>99060</xdr:colOff>
      <xdr:row>4</xdr:row>
      <xdr:rowOff>60960</xdr:rowOff>
    </xdr:from>
    <xdr:to>
      <xdr:col>1</xdr:col>
      <xdr:colOff>251460</xdr:colOff>
      <xdr:row>23</xdr:row>
      <xdr:rowOff>160020</xdr:rowOff>
    </xdr:to>
    <mc:AlternateContent xmlns:mc="http://schemas.openxmlformats.org/markup-compatibility/2006" xmlns:a14="http://schemas.microsoft.com/office/drawing/2010/main">
      <mc:Choice Requires="a14">
        <xdr:graphicFrame macro="">
          <xdr:nvGraphicFramePr>
            <xdr:cNvPr id="44" name="Date (Month) 1">
              <a:extLst>
                <a:ext uri="{FF2B5EF4-FFF2-40B4-BE49-F238E27FC236}">
                  <a16:creationId xmlns:a16="http://schemas.microsoft.com/office/drawing/2014/main" id="{D7FDD3B4-0FB2-405C-B58C-FB4B065735D6}"/>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99060" y="785237"/>
              <a:ext cx="763509" cy="3539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430041</xdr:colOff>
      <xdr:row>9</xdr:row>
      <xdr:rowOff>158436</xdr:rowOff>
    </xdr:from>
    <xdr:to>
      <xdr:col>7</xdr:col>
      <xdr:colOff>105624</xdr:colOff>
      <xdr:row>12</xdr:row>
      <xdr:rowOff>167642</xdr:rowOff>
    </xdr:to>
    <xdr:pic>
      <xdr:nvPicPr>
        <xdr:cNvPr id="45" name="Picture 44">
          <a:extLst>
            <a:ext uri="{FF2B5EF4-FFF2-40B4-BE49-F238E27FC236}">
              <a16:creationId xmlns:a16="http://schemas.microsoft.com/office/drawing/2014/main" id="{E260CBA5-F77C-B22C-A506-75BA5D48871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1150" y="1788060"/>
          <a:ext cx="3342236" cy="5524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422520</xdr:colOff>
      <xdr:row>13</xdr:row>
      <xdr:rowOff>85531</xdr:rowOff>
    </xdr:from>
    <xdr:to>
      <xdr:col>7</xdr:col>
      <xdr:colOff>116632</xdr:colOff>
      <xdr:row>24</xdr:row>
      <xdr:rowOff>69979</xdr:rowOff>
    </xdr:to>
    <xdr:graphicFrame macro="">
      <xdr:nvGraphicFramePr>
        <xdr:cNvPr id="46" name="Chart 45">
          <a:extLst>
            <a:ext uri="{FF2B5EF4-FFF2-40B4-BE49-F238E27FC236}">
              <a16:creationId xmlns:a16="http://schemas.microsoft.com/office/drawing/2014/main" id="{3FC8BC2B-C3C5-4F9F-BA09-7E46472A1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311019</xdr:colOff>
      <xdr:row>0</xdr:row>
      <xdr:rowOff>139961</xdr:rowOff>
    </xdr:from>
    <xdr:to>
      <xdr:col>10</xdr:col>
      <xdr:colOff>186612</xdr:colOff>
      <xdr:row>9</xdr:row>
      <xdr:rowOff>0</xdr:rowOff>
    </xdr:to>
    <xdr:graphicFrame macro="">
      <xdr:nvGraphicFramePr>
        <xdr:cNvPr id="47" name="Chart 46">
          <a:extLst>
            <a:ext uri="{FF2B5EF4-FFF2-40B4-BE49-F238E27FC236}">
              <a16:creationId xmlns:a16="http://schemas.microsoft.com/office/drawing/2014/main" id="{DB00FC51-3D2B-47E7-B18D-2A55BE102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9</xdr:col>
      <xdr:colOff>77755</xdr:colOff>
      <xdr:row>1</xdr:row>
      <xdr:rowOff>132184</xdr:rowOff>
    </xdr:from>
    <xdr:ext cx="184731" cy="264560"/>
    <xdr:sp macro="" textlink="">
      <xdr:nvSpPr>
        <xdr:cNvPr id="48" name="TextBox 47">
          <a:extLst>
            <a:ext uri="{FF2B5EF4-FFF2-40B4-BE49-F238E27FC236}">
              <a16:creationId xmlns:a16="http://schemas.microsoft.com/office/drawing/2014/main" id="{15269034-56B2-B151-76F9-DB53E7A313D9}"/>
            </a:ext>
          </a:extLst>
        </xdr:cNvPr>
        <xdr:cNvSpPr txBox="1"/>
      </xdr:nvSpPr>
      <xdr:spPr>
        <a:xfrm>
          <a:off x="5683898" y="31879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219366</xdr:colOff>
      <xdr:row>0</xdr:row>
      <xdr:rowOff>163286</xdr:rowOff>
    </xdr:from>
    <xdr:ext cx="640496" cy="609013"/>
    <xdr:sp macro="" textlink="">
      <xdr:nvSpPr>
        <xdr:cNvPr id="49" name="TextBox 48">
          <a:extLst>
            <a:ext uri="{FF2B5EF4-FFF2-40B4-BE49-F238E27FC236}">
              <a16:creationId xmlns:a16="http://schemas.microsoft.com/office/drawing/2014/main" id="{E24516E2-0C7B-FE88-B05A-B2769C058AE1}"/>
            </a:ext>
          </a:extLst>
        </xdr:cNvPr>
        <xdr:cNvSpPr txBox="1"/>
      </xdr:nvSpPr>
      <xdr:spPr>
        <a:xfrm>
          <a:off x="5825509" y="163286"/>
          <a:ext cx="640496"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100" b="1"/>
            <a:t>Patient</a:t>
          </a:r>
          <a:r>
            <a:rPr lang="en-US" sz="1100" b="1" baseline="0"/>
            <a:t> </a:t>
          </a:r>
        </a:p>
        <a:p>
          <a:pPr algn="ctr"/>
          <a:r>
            <a:rPr lang="en-US" sz="1100" b="1" baseline="0"/>
            <a:t>Attend </a:t>
          </a:r>
        </a:p>
        <a:p>
          <a:pPr algn="ctr"/>
          <a:r>
            <a:rPr lang="en-US" sz="1100" b="1" baseline="0"/>
            <a:t>Status</a:t>
          </a:r>
          <a:endParaRPr lang="en-US" sz="1100" b="1"/>
        </a:p>
      </xdr:txBody>
    </xdr:sp>
    <xdr:clientData/>
  </xdr:oneCellAnchor>
  <xdr:twoCellAnchor>
    <xdr:from>
      <xdr:col>10</xdr:col>
      <xdr:colOff>417571</xdr:colOff>
      <xdr:row>0</xdr:row>
      <xdr:rowOff>173525</xdr:rowOff>
    </xdr:from>
    <xdr:to>
      <xdr:col>13</xdr:col>
      <xdr:colOff>497943</xdr:colOff>
      <xdr:row>8</xdr:row>
      <xdr:rowOff>120714</xdr:rowOff>
    </xdr:to>
    <xdr:graphicFrame macro="">
      <xdr:nvGraphicFramePr>
        <xdr:cNvPr id="50" name="Chart 49">
          <a:extLst>
            <a:ext uri="{FF2B5EF4-FFF2-40B4-BE49-F238E27FC236}">
              <a16:creationId xmlns:a16="http://schemas.microsoft.com/office/drawing/2014/main" id="{9E88DD94-844B-4060-B0A2-7EEB67146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241427</xdr:colOff>
      <xdr:row>9</xdr:row>
      <xdr:rowOff>161076</xdr:rowOff>
    </xdr:from>
    <xdr:to>
      <xdr:col>13</xdr:col>
      <xdr:colOff>588477</xdr:colOff>
      <xdr:row>24</xdr:row>
      <xdr:rowOff>60357</xdr:rowOff>
    </xdr:to>
    <xdr:graphicFrame macro="">
      <xdr:nvGraphicFramePr>
        <xdr:cNvPr id="51" name="Chart 50">
          <a:extLst>
            <a:ext uri="{FF2B5EF4-FFF2-40B4-BE49-F238E27FC236}">
              <a16:creationId xmlns:a16="http://schemas.microsoft.com/office/drawing/2014/main" id="{E1737F8C-56D9-40F4-9D15-30AE2E254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248970</xdr:colOff>
      <xdr:row>0</xdr:row>
      <xdr:rowOff>67903</xdr:rowOff>
    </xdr:from>
    <xdr:to>
      <xdr:col>7</xdr:col>
      <xdr:colOff>158436</xdr:colOff>
      <xdr:row>3</xdr:row>
      <xdr:rowOff>120713</xdr:rowOff>
    </xdr:to>
    <mc:AlternateContent xmlns:mc="http://schemas.openxmlformats.org/markup-compatibility/2006" xmlns:a14="http://schemas.microsoft.com/office/drawing/2010/main">
      <mc:Choice Requires="a14">
        <xdr:graphicFrame macro="">
          <xdr:nvGraphicFramePr>
            <xdr:cNvPr id="54" name="Date (Year)">
              <a:extLst>
                <a:ext uri="{FF2B5EF4-FFF2-40B4-BE49-F238E27FC236}">
                  <a16:creationId xmlns:a16="http://schemas.microsoft.com/office/drawing/2014/main" id="{EE4C79CA-FD55-40AC-B7C6-26E042090DA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304515" y="67903"/>
              <a:ext cx="1131683" cy="5960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0.28381</cdr:x>
      <cdr:y>0.11832</cdr:y>
    </cdr:from>
    <cdr:to>
      <cdr:x>0.55816</cdr:x>
      <cdr:y>0.56718</cdr:y>
    </cdr:to>
    <cdr:sp macro="" textlink="">
      <cdr:nvSpPr>
        <cdr:cNvPr id="2" name="TextBox 1">
          <a:extLst xmlns:a="http://schemas.openxmlformats.org/drawingml/2006/main">
            <a:ext uri="{FF2B5EF4-FFF2-40B4-BE49-F238E27FC236}">
              <a16:creationId xmlns:a16="http://schemas.microsoft.com/office/drawing/2014/main" id="{3F604D09-42BE-884A-7D51-7FA2EA2328F9}"/>
            </a:ext>
          </a:extLst>
        </cdr:cNvPr>
        <cdr:cNvSpPr txBox="1"/>
      </cdr:nvSpPr>
      <cdr:spPr>
        <a:xfrm xmlns:a="http://schemas.openxmlformats.org/drawingml/2006/main">
          <a:off x="945969" y="24104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kern="1200"/>
            <a:t>Age Group</a:t>
          </a:r>
          <a:r>
            <a:rPr lang="en-US" sz="1100" b="1" kern="1200" baseline="0"/>
            <a:t> of Patient</a:t>
          </a:r>
          <a:endParaRPr lang="en-US" sz="1100" b="1"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07.939620023149" createdVersion="5" refreshedVersion="8" minRefreshableVersion="3" recordCount="0" supportSubquery="1" supportAdvancedDrill="1" xr:uid="{C3C905AD-C367-4861-BE5E-6335F131EE3D}">
  <cacheSource type="external" connectionId="3"/>
  <cacheFields count="4">
    <cacheField name="[Measures].[Distinct Count of Patient Id]" caption="Distinct Count of Patient Id" numFmtId="0" hierarchy="25" level="32767"/>
    <cacheField name="[Calenda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07.939620254627" createdVersion="5" refreshedVersion="8" minRefreshableVersion="3" recordCount="0" supportSubquery="1" supportAdvancedDrill="1" xr:uid="{F7DBC31B-697A-4232-B28B-2E80B06DA386}">
  <cacheSource type="external" connectionId="3"/>
  <cacheFields count="3">
    <cacheField name="[Measures].[Distinct Count of Patient Id]" caption="Distinct Count of Patient Id" numFmtId="0" hierarchy="2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07.939620486111" createdVersion="5" refreshedVersion="8" minRefreshableVersion="3" recordCount="0" supportSubquery="1" supportAdvancedDrill="1" xr:uid="{28E9B72A-9AB1-49C1-9A17-54D60D7BC0C8}">
  <cacheSource type="external" connectionId="3"/>
  <cacheFields count="3">
    <cacheField name="[Measures].[Average of Patient Waittime]" caption="Average of Patient Waittim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07.93962060185" createdVersion="5" refreshedVersion="8" minRefreshableVersion="3" recordCount="0" supportSubquery="1" supportAdvancedDrill="1" xr:uid="{8E81537A-7C1C-47BB-9180-719F65C40BB8}">
  <cacheSource type="external" connectionId="3"/>
  <cacheFields count="3">
    <cacheField name="[Measures].[Average of Patient Satisfaction Score]" caption="Average of Patient Satisfaction Score"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07.939621064812" createdVersion="5" refreshedVersion="8" minRefreshableVersion="3" recordCount="0" supportSubquery="1" supportAdvancedDrill="1" xr:uid="{CFAAE201-91B9-4C1B-9BE3-92FCFC460507}">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4"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7" level="32767">
      <extLst>
        <ext xmlns:x14="http://schemas.microsoft.com/office/spreadsheetml/2009/9/main" uri="{63CAB8AC-B538-458d-9737-405883B0398D}">
          <x14:cacheField ignore="1"/>
        </ext>
      </extLst>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07.939621527781" createdVersion="5" refreshedVersion="8" minRefreshableVersion="3" recordCount="0" supportSubquery="1" supportAdvancedDrill="1" xr:uid="{0CBEC70F-667C-4AA2-9E43-4C3D187EF33A}">
  <cacheSource type="external" connectionId="3"/>
  <cacheFields count="4">
    <cacheField name="[Calendar_Table].[Date (Month)].[Date (Month)]" caption="Date (Month)" numFmtId="0" hierarchy="1" level="1">
      <sharedItems containsSemiMixedTypes="0" containsNonDate="0" containsString="0"/>
    </cacheField>
    <cacheField name="[Measures].[Count of Age Group]" caption="Count of Age Group" numFmtId="0" hierarchy="32" level="32767"/>
    <cacheField name="[Hospital Emergency Room Data].[Age Group].[Age Group]" caption="Age Group" numFmtId="0" hierarchy="17" level="1">
      <sharedItems count="8">
        <s v="0-09"/>
        <s v="10-19"/>
        <s v="20-29"/>
        <s v="30-39"/>
        <s v="40-49"/>
        <s v="50-59"/>
        <s v="60-69"/>
        <s v="70-79"/>
      </sharedItems>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07.939621874997" createdVersion="5" refreshedVersion="8" minRefreshableVersion="3" recordCount="0" supportSubquery="1" supportAdvancedDrill="1" xr:uid="{995EA709-AC47-4CAF-BA6F-B8036A4D6159}">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8" level="1">
      <sharedItems count="2">
        <s v="Delay"/>
        <s v="Ontime"/>
      </sharedItems>
    </cacheField>
    <cacheField name="[Measures].[Count of Patient Attend Status]" caption="Count of Patient Attend Status" numFmtId="0" hierarchy="33"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07.939622453705" createdVersion="5" refreshedVersion="8" minRefreshableVersion="3" recordCount="0" supportSubquery="1" supportAdvancedDrill="1" xr:uid="{2DD20311-DCD1-429F-A596-49D1BADA73BE}">
  <cacheSource type="external" connectionId="3"/>
  <cacheFields count="4">
    <cacheField name="[Calendar_Table].[Date (Month)].[Date (Month)]" caption="Date (Month)" numFmtId="0" hierarchy="1" level="1">
      <sharedItems containsSemiMixedTypes="0" containsNonDate="0" containsString="0"/>
    </cacheField>
    <cacheField name="[Measures].[Count of Patient Gender]" caption="Count of Patient Gender" numFmtId="0" hierarchy="34" level="32767"/>
    <cacheField name="[Hospital Emergency Room Data].[Patient Gender].[Patient Gender]" caption="Patient Gender" numFmtId="0" hierarchy="10" level="1">
      <sharedItems count="2">
        <s v="Female"/>
        <s v="Male"/>
      </sharedItems>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07.939622800928" createdVersion="5" refreshedVersion="8" minRefreshableVersion="3" recordCount="0" supportSubquery="1" supportAdvancedDrill="1" xr:uid="{32D746F8-B838-41FF-98A9-25CDFE49FB3D}">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3"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07.93962326389" createdVersion="5" refreshedVersion="8" minRefreshableVersion="3" recordCount="0" supportSubquery="1" supportAdvancedDrill="1" xr:uid="{82D2B664-302D-45D9-8EA3-427FD84F5CD4}">
  <cacheSource type="external" connectionId="3"/>
  <cacheFields count="4">
    <cacheField name="[Calendar_Table].[Date (Month)].[Date (Month)]" caption="Date (Month)" numFmtId="0" hierarchy="1" level="1">
      <sharedItems count="1">
        <s v="May"/>
      </sharedItems>
    </cacheField>
    <cacheField name="[Calendar_Table].[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3"/>
      </sharedItems>
    </cacheField>
  </cacheFields>
  <cacheHierarchies count="37">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2"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46.994803240741" createdVersion="3" refreshedVersion="8" minRefreshableVersion="3" recordCount="0" supportSubquery="1" supportAdvancedDrill="1" xr:uid="{231FC4AF-50ED-4D52-AF6F-B85AAE016AF2}">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2378383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46.998220486108" createdVersion="3" refreshedVersion="8" minRefreshableVersion="3" recordCount="0" supportSubquery="1" supportAdvancedDrill="1" xr:uid="{9466AA06-8EE2-4A37-A80B-333B4AF437D2}">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5976536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5FAB86-BF71-4EF5-945C-90A2BED38691}" name="PivotTable4" cacheId="104" applyNumberFormats="0" applyBorderFormats="0" applyFontFormats="0" applyPatternFormats="0" applyAlignmentFormats="0" applyWidthHeightFormats="1" dataCaption="Values" tag="2c7cfa50-3d9e-4a76-8131-3d81e9f523ad" updatedVersion="8" minRefreshableVersion="3" useAutoFormatting="1" subtotalHiddenItems="1" itemPrintTitles="1" createdVersion="5" indent="0" outline="1" outlineData="1" multipleFieldFilters="0">
  <location ref="C5:D36"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804E54-C478-4831-8225-0BEBAA367025}" name="PivotTable16" cacheId="128" applyNumberFormats="0" applyBorderFormats="0" applyFontFormats="0" applyPatternFormats="0" applyAlignmentFormats="0" applyWidthHeightFormats="1" dataCaption="Values" tag="c4159d8c-f77c-40f1-bb89-d61a5e842460" updatedVersion="8" minRefreshableVersion="3" useAutoFormatting="1" subtotalHiddenItems="1" itemPrintTitles="1" createdVersion="5" indent="0" outline="1" outlineData="1" multipleFieldFilters="0" chartFormat="26">
  <location ref="A86:B95"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4"/>
    </i>
    <i>
      <x v="2"/>
    </i>
    <i>
      <x v="5"/>
    </i>
    <i>
      <x v="6"/>
    </i>
    <i>
      <x/>
    </i>
    <i>
      <x v="1"/>
    </i>
    <i>
      <x v="3"/>
    </i>
    <i>
      <x v="7"/>
    </i>
    <i t="grand">
      <x/>
    </i>
  </rowItems>
  <colItems count="1">
    <i/>
  </colItems>
  <dataFields count="1">
    <dataField name="Count of Department Referral" fld="2" subtotal="count" baseField="0" baseItem="0"/>
  </dataFields>
  <chartFormats count="1">
    <chartFormat chart="25"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0B5443-6462-4D48-86FF-6D4894834C1A}" name="PivotTable15" cacheId="125" applyNumberFormats="0" applyBorderFormats="0" applyFontFormats="0" applyPatternFormats="0" applyAlignmentFormats="0" applyWidthHeightFormats="1" dataCaption="Values" tag="b600f6b8-ddcd-4598-b2f7-8f94340abafd" updatedVersion="8" minRefreshableVersion="3" useAutoFormatting="1" subtotalHiddenItems="1" itemPrintTitles="1" createdVersion="5" indent="0" outline="1" outlineData="1" multipleFieldFilters="0" chartFormat="23">
  <location ref="A80:B8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chartFormats count="4">
    <chartFormat chart="19" format="0"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2" count="1" selected="0">
            <x v="0"/>
          </reference>
        </references>
      </pivotArea>
    </chartFormat>
    <chartFormat chart="21" format="6">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5409F5-709B-4D14-858F-2D73E7339B47}" name="PivotTable3" cacheId="113" applyNumberFormats="0" applyBorderFormats="0" applyFontFormats="0" applyPatternFormats="0" applyAlignmentFormats="0" applyWidthHeightFormats="1" dataCaption="Values" tag="9b221ee5-ae20-4351-b54b-dbe333dab842" updatedVersion="8" minRefreshableVersion="3" useAutoFormatting="1"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pivotHierarchies count="37">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08E322-6C83-4D28-839C-6198C481DE5A}" name="PivotTable14" cacheId="122" applyNumberFormats="0" applyBorderFormats="0" applyFontFormats="0" applyPatternFormats="0" applyAlignmentFormats="0" applyWidthHeightFormats="1" dataCaption="Values" tag="fc878c1d-4fc1-460b-9b19-be462025b39c" updatedVersion="8" minRefreshableVersion="3" useAutoFormatting="1" subtotalHiddenItems="1" itemPrintTitles="1" createdVersion="5" indent="0" outline="1" outlineData="1" multipleFieldFilters="0" chartFormat="17">
  <location ref="A74:B7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158C5C-06AA-4174-BB95-A81C6C579714}" name="PivotTable2" cacheId="110" applyNumberFormats="0" applyBorderFormats="0" applyFontFormats="0" applyPatternFormats="0" applyAlignmentFormats="0" applyWidthHeightFormats="1" dataCaption="Values" tag="c8da3579-7284-482f-9691-89ab4582ccf2" updatedVersion="8" minRefreshableVersion="3" useAutoFormatting="1"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dataFields>
  <pivotHierarchies count="37">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4BEAAB-510F-48EC-81BF-DDB02D3DF2FA}" name="PivotTable1" cacheId="107" applyNumberFormats="0" applyBorderFormats="0" applyFontFormats="0" applyPatternFormats="0" applyAlignmentFormats="0" applyWidthHeightFormats="1" dataCaption="Values" tag="0f15fb97-d56e-4195-9ba9-0271efe6eabd" updatedVersion="8" minRefreshableVersion="3" useAutoFormatting="1" subtotalHiddenItems="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089B29-8715-42CD-B651-7C7B35FF1A5B}" name="PivotTable13" cacheId="119" applyNumberFormats="0" applyBorderFormats="0" applyFontFormats="0" applyPatternFormats="0" applyAlignmentFormats="0" applyWidthHeightFormats="1" dataCaption="Values" tag="dcbf9549-b0fb-4e28-b718-99d7014d98da" updatedVersion="8" minRefreshableVersion="3" useAutoFormatting="1" subtotalHiddenItems="1" itemPrintTitles="1" createdVersion="5" indent="0" outline="1" outlineData="1" multipleFieldFilters="0" chartFormat="6">
  <location ref="A57:B6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B02DD2-F695-4C4B-AE71-852A68308328}" name="PivotTable17" cacheId="131" applyNumberFormats="0" applyBorderFormats="0" applyFontFormats="0" applyPatternFormats="0" applyAlignmentFormats="0" applyWidthHeightFormats="1" dataCaption="Values" tag="e8939952-521d-4ffb-9366-b9dc574a797b" updatedVersion="8" minRefreshableVersion="3" useAutoFormatting="1" subtotalHiddenItems="1" itemPrintTitles="1" createdVersion="5" indent="0" outline="1" outlineData="1" multipleFieldFilters="0" chartFormat="23">
  <location ref="A97:A99"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37">
    <pivotHierarchy dragToData="1"/>
    <pivotHierarchy multipleItemSelectionAllowed="1" dragToData="1">
      <members count="1" level="1">
        <member name="[Calendar_Table].[Date (Month)].&amp;[Sep]"/>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EBE82A-7D5E-4E19-BCA7-4E5A15440EAE}" name="PivotTable12" cacheId="116" applyNumberFormats="0" applyBorderFormats="0" applyFontFormats="0" applyPatternFormats="0" applyAlignmentFormats="0" applyWidthHeightFormats="1" dataCaption="Values" tag="63b0d7ea-9606-425b-9d73-6b382c0451e6" updatedVersion="8" minRefreshableVersion="3" useAutoFormatting="1" subtotalHiddenItems="1" itemPrintTitles="1" createdVersion="5" indent="0" outline="1" outlineData="1" multipleFieldFilters="0" chartFormat="2">
  <location ref="A46:C49"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s>
  <pivotHierarchies count="38">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EC250F8-0EF7-438D-84D3-90EE9A548640}" sourceName="[Calendar_Table].[Date (Month)]">
  <pivotTables>
    <pivotTable tabId="1" name="PivotTable4"/>
    <pivotTable tabId="1" name="PivotTable1"/>
    <pivotTable tabId="1" name="PivotTable2"/>
    <pivotTable tabId="1" name="PivotTable3"/>
    <pivotTable tabId="1" name="PivotTable12"/>
    <pivotTable tabId="1" name="PivotTable13"/>
    <pivotTable tabId="1" name="PivotTable14"/>
    <pivotTable tabId="1" name="PivotTable15"/>
    <pivotTable tabId="1" name="PivotTable16"/>
    <pivotTable tabId="1" name="PivotTable17"/>
  </pivotTables>
  <data>
    <olap pivotCacheId="123783839">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Se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4CC8856C-51E3-41D7-B70A-EF278AA8C2AD}" sourceName="[Calendar_Table].[Date (Year)]">
  <pivotTables>
    <pivotTable tabId="1" name="PivotTable17"/>
    <pivotTable tabId="1" name="PivotTable1"/>
    <pivotTable tabId="1" name="PivotTable12"/>
    <pivotTable tabId="1" name="PivotTable13"/>
    <pivotTable tabId="1" name="PivotTable14"/>
    <pivotTable tabId="1" name="PivotTable15"/>
    <pivotTable tabId="1" name="PivotTable16"/>
    <pivotTable tabId="1" name="PivotTable2"/>
    <pivotTable tabId="1" name="PivotTable3"/>
    <pivotTable tabId="1" name="PivotTable4"/>
  </pivotTables>
  <data>
    <olap pivotCacheId="159765363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F58AADE4-373E-450F-A2FF-4BFDDD47B679}" cache="Slicer_Date__Month" caption="Date (Mont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F0CF6596-610A-46DB-A44C-326FBCAF023B}" cache="Slicer_Date__Month" caption="Date (Month)" showCaption="0" level="1" rowHeight="234950"/>
  <slicer name="Date (Year)" xr10:uid="{AC1BCFBE-A8A5-4F77-BEB1-AA9D79BE01DA}" cache="Slicer_Date__Year" caption="Date (Year)" showCaption="0"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856B8-963A-4BB5-9406-79CE5DA0CCB5}">
  <dimension ref="A4:D99"/>
  <sheetViews>
    <sheetView topLeftCell="A83" zoomScale="121" zoomScaleNormal="278" workbookViewId="0">
      <selection activeCell="A97" sqref="A97"/>
    </sheetView>
  </sheetViews>
  <sheetFormatPr defaultRowHeight="14.4" x14ac:dyDescent="0.3"/>
  <cols>
    <col min="1" max="1" width="12.5546875" bestFit="1" customWidth="1"/>
    <col min="2" max="2" width="26.5546875" bestFit="1" customWidth="1"/>
    <col min="3" max="3" width="29.109375" bestFit="1" customWidth="1"/>
    <col min="4" max="4" width="24.109375" bestFit="1" customWidth="1"/>
  </cols>
  <sheetData>
    <row r="4" spans="1:4" x14ac:dyDescent="0.3">
      <c r="A4" t="s">
        <v>1</v>
      </c>
    </row>
    <row r="5" spans="1:4" x14ac:dyDescent="0.3">
      <c r="A5" t="s">
        <v>0</v>
      </c>
      <c r="C5" s="2" t="s">
        <v>19</v>
      </c>
      <c r="D5" t="s">
        <v>0</v>
      </c>
    </row>
    <row r="6" spans="1:4" x14ac:dyDescent="0.3">
      <c r="A6" s="10">
        <v>469</v>
      </c>
      <c r="C6" s="4" t="s">
        <v>37</v>
      </c>
      <c r="D6" s="10">
        <v>12</v>
      </c>
    </row>
    <row r="7" spans="1:4" x14ac:dyDescent="0.3">
      <c r="C7" s="4" t="s">
        <v>38</v>
      </c>
      <c r="D7" s="10">
        <v>18</v>
      </c>
    </row>
    <row r="8" spans="1:4" x14ac:dyDescent="0.3">
      <c r="A8" t="s">
        <v>17</v>
      </c>
      <c r="C8" s="4" t="s">
        <v>39</v>
      </c>
      <c r="D8" s="10">
        <v>17</v>
      </c>
    </row>
    <row r="9" spans="1:4" x14ac:dyDescent="0.3">
      <c r="A9" s="10">
        <v>34.268656716417908</v>
      </c>
      <c r="C9" s="4" t="s">
        <v>40</v>
      </c>
      <c r="D9" s="10">
        <v>15</v>
      </c>
    </row>
    <row r="10" spans="1:4" x14ac:dyDescent="0.3">
      <c r="C10" s="4" t="s">
        <v>41</v>
      </c>
      <c r="D10" s="10">
        <v>13</v>
      </c>
    </row>
    <row r="11" spans="1:4" x14ac:dyDescent="0.3">
      <c r="C11" s="4" t="s">
        <v>42</v>
      </c>
      <c r="D11" s="10">
        <v>11</v>
      </c>
    </row>
    <row r="12" spans="1:4" x14ac:dyDescent="0.3">
      <c r="A12" t="s">
        <v>18</v>
      </c>
      <c r="C12" s="4" t="s">
        <v>43</v>
      </c>
      <c r="D12" s="10">
        <v>14</v>
      </c>
    </row>
    <row r="13" spans="1:4" x14ac:dyDescent="0.3">
      <c r="A13" s="10">
        <v>4.9837398373983737</v>
      </c>
      <c r="C13" s="4" t="s">
        <v>44</v>
      </c>
      <c r="D13" s="10">
        <v>17</v>
      </c>
    </row>
    <row r="14" spans="1:4" x14ac:dyDescent="0.3">
      <c r="C14" s="4" t="s">
        <v>45</v>
      </c>
      <c r="D14" s="10">
        <v>15</v>
      </c>
    </row>
    <row r="15" spans="1:4" x14ac:dyDescent="0.3">
      <c r="C15" s="4" t="s">
        <v>46</v>
      </c>
      <c r="D15" s="10">
        <v>16</v>
      </c>
    </row>
    <row r="16" spans="1:4" x14ac:dyDescent="0.3">
      <c r="C16" s="4" t="s">
        <v>47</v>
      </c>
      <c r="D16" s="10">
        <v>9</v>
      </c>
    </row>
    <row r="17" spans="3:4" x14ac:dyDescent="0.3">
      <c r="C17" s="4" t="s">
        <v>48</v>
      </c>
      <c r="D17" s="10">
        <v>10</v>
      </c>
    </row>
    <row r="18" spans="3:4" x14ac:dyDescent="0.3">
      <c r="C18" s="4" t="s">
        <v>49</v>
      </c>
      <c r="D18" s="10">
        <v>12</v>
      </c>
    </row>
    <row r="19" spans="3:4" x14ac:dyDescent="0.3">
      <c r="C19" s="4" t="s">
        <v>50</v>
      </c>
      <c r="D19" s="10">
        <v>13</v>
      </c>
    </row>
    <row r="20" spans="3:4" x14ac:dyDescent="0.3">
      <c r="C20" s="4" t="s">
        <v>51</v>
      </c>
      <c r="D20" s="10">
        <v>26</v>
      </c>
    </row>
    <row r="21" spans="3:4" x14ac:dyDescent="0.3">
      <c r="C21" s="4" t="s">
        <v>52</v>
      </c>
      <c r="D21" s="10">
        <v>22</v>
      </c>
    </row>
    <row r="22" spans="3:4" x14ac:dyDescent="0.3">
      <c r="C22" s="4" t="s">
        <v>53</v>
      </c>
      <c r="D22" s="10">
        <v>16</v>
      </c>
    </row>
    <row r="23" spans="3:4" x14ac:dyDescent="0.3">
      <c r="C23" s="4" t="s">
        <v>54</v>
      </c>
      <c r="D23" s="10">
        <v>12</v>
      </c>
    </row>
    <row r="24" spans="3:4" x14ac:dyDescent="0.3">
      <c r="C24" s="4" t="s">
        <v>55</v>
      </c>
      <c r="D24" s="10">
        <v>21</v>
      </c>
    </row>
    <row r="25" spans="3:4" x14ac:dyDescent="0.3">
      <c r="C25" s="4" t="s">
        <v>56</v>
      </c>
      <c r="D25" s="10">
        <v>12</v>
      </c>
    </row>
    <row r="26" spans="3:4" x14ac:dyDescent="0.3">
      <c r="C26" s="4" t="s">
        <v>57</v>
      </c>
      <c r="D26" s="10">
        <v>15</v>
      </c>
    </row>
    <row r="27" spans="3:4" x14ac:dyDescent="0.3">
      <c r="C27" s="4" t="s">
        <v>58</v>
      </c>
      <c r="D27" s="10">
        <v>23</v>
      </c>
    </row>
    <row r="28" spans="3:4" x14ac:dyDescent="0.3">
      <c r="C28" s="4" t="s">
        <v>59</v>
      </c>
      <c r="D28" s="10">
        <v>15</v>
      </c>
    </row>
    <row r="29" spans="3:4" x14ac:dyDescent="0.3">
      <c r="C29" s="4" t="s">
        <v>60</v>
      </c>
      <c r="D29" s="10">
        <v>15</v>
      </c>
    </row>
    <row r="30" spans="3:4" x14ac:dyDescent="0.3">
      <c r="C30" s="4" t="s">
        <v>61</v>
      </c>
      <c r="D30" s="10">
        <v>14</v>
      </c>
    </row>
    <row r="31" spans="3:4" x14ac:dyDescent="0.3">
      <c r="C31" s="4" t="s">
        <v>62</v>
      </c>
      <c r="D31" s="10">
        <v>19</v>
      </c>
    </row>
    <row r="32" spans="3:4" x14ac:dyDescent="0.3">
      <c r="C32" s="4" t="s">
        <v>63</v>
      </c>
      <c r="D32" s="10">
        <v>17</v>
      </c>
    </row>
    <row r="33" spans="1:4" x14ac:dyDescent="0.3">
      <c r="C33" s="4" t="s">
        <v>64</v>
      </c>
      <c r="D33" s="10">
        <v>16</v>
      </c>
    </row>
    <row r="34" spans="1:4" x14ac:dyDescent="0.3">
      <c r="C34" s="4" t="s">
        <v>65</v>
      </c>
      <c r="D34" s="10">
        <v>15</v>
      </c>
    </row>
    <row r="35" spans="1:4" x14ac:dyDescent="0.3">
      <c r="C35" s="4" t="s">
        <v>66</v>
      </c>
      <c r="D35" s="10">
        <v>19</v>
      </c>
    </row>
    <row r="36" spans="1:4" x14ac:dyDescent="0.3">
      <c r="C36" s="4" t="s">
        <v>20</v>
      </c>
      <c r="D36" s="10">
        <v>469</v>
      </c>
    </row>
    <row r="39" spans="1:4" x14ac:dyDescent="0.3">
      <c r="C39" s="1"/>
      <c r="D39" s="1"/>
    </row>
    <row r="42" spans="1:4" x14ac:dyDescent="0.3">
      <c r="C42" s="5"/>
      <c r="D42" s="5"/>
    </row>
    <row r="44" spans="1:4" x14ac:dyDescent="0.3">
      <c r="A44" s="1"/>
    </row>
    <row r="46" spans="1:4" x14ac:dyDescent="0.3">
      <c r="A46" s="2" t="s">
        <v>19</v>
      </c>
      <c r="B46" t="s">
        <v>21</v>
      </c>
      <c r="C46" t="s">
        <v>22</v>
      </c>
    </row>
    <row r="47" spans="1:4" x14ac:dyDescent="0.3">
      <c r="A47" s="4" t="s">
        <v>4</v>
      </c>
      <c r="B47" s="10">
        <v>249</v>
      </c>
      <c r="C47" s="6">
        <v>0.53091684434968012</v>
      </c>
    </row>
    <row r="48" spans="1:4" x14ac:dyDescent="0.3">
      <c r="A48" s="4" t="s">
        <v>16</v>
      </c>
      <c r="B48" s="10">
        <v>220</v>
      </c>
      <c r="C48" s="6">
        <v>0.46908315565031983</v>
      </c>
    </row>
    <row r="49" spans="1:4" x14ac:dyDescent="0.3">
      <c r="A49" s="4" t="s">
        <v>20</v>
      </c>
      <c r="B49" s="10">
        <v>469</v>
      </c>
      <c r="C49" s="6">
        <v>1</v>
      </c>
    </row>
    <row r="53" spans="1:4" x14ac:dyDescent="0.3">
      <c r="A53" s="8" t="s">
        <v>23</v>
      </c>
      <c r="B53" s="8" t="s">
        <v>1</v>
      </c>
      <c r="C53" s="7" t="s">
        <v>24</v>
      </c>
      <c r="D53" s="9"/>
    </row>
    <row r="54" spans="1:4" x14ac:dyDescent="0.3">
      <c r="A54" s="4" t="s">
        <v>4</v>
      </c>
      <c r="B54">
        <v>495</v>
      </c>
      <c r="C54" s="6">
        <v>0.49549549549549549</v>
      </c>
    </row>
    <row r="55" spans="1:4" x14ac:dyDescent="0.3">
      <c r="A55" s="4" t="s">
        <v>16</v>
      </c>
      <c r="B55">
        <v>504</v>
      </c>
      <c r="C55" s="6">
        <v>0.50450450450450446</v>
      </c>
    </row>
    <row r="57" spans="1:4" x14ac:dyDescent="0.3">
      <c r="A57" s="2" t="s">
        <v>19</v>
      </c>
      <c r="B57" t="s">
        <v>25</v>
      </c>
    </row>
    <row r="58" spans="1:4" x14ac:dyDescent="0.3">
      <c r="A58" s="4" t="s">
        <v>10</v>
      </c>
      <c r="B58" s="10">
        <v>61</v>
      </c>
    </row>
    <row r="59" spans="1:4" x14ac:dyDescent="0.3">
      <c r="A59" s="4" t="s">
        <v>5</v>
      </c>
      <c r="B59" s="10">
        <v>56</v>
      </c>
    </row>
    <row r="60" spans="1:4" x14ac:dyDescent="0.3">
      <c r="A60" s="4" t="s">
        <v>8</v>
      </c>
      <c r="B60" s="10">
        <v>58</v>
      </c>
    </row>
    <row r="61" spans="1:4" x14ac:dyDescent="0.3">
      <c r="A61" s="4" t="s">
        <v>14</v>
      </c>
      <c r="B61" s="10">
        <v>56</v>
      </c>
    </row>
    <row r="62" spans="1:4" x14ac:dyDescent="0.3">
      <c r="A62" s="4" t="s">
        <v>12</v>
      </c>
      <c r="B62" s="10">
        <v>66</v>
      </c>
    </row>
    <row r="63" spans="1:4" x14ac:dyDescent="0.3">
      <c r="A63" s="4" t="s">
        <v>9</v>
      </c>
      <c r="B63" s="10">
        <v>62</v>
      </c>
    </row>
    <row r="64" spans="1:4" x14ac:dyDescent="0.3">
      <c r="A64" s="4" t="s">
        <v>7</v>
      </c>
      <c r="B64" s="10">
        <v>58</v>
      </c>
    </row>
    <row r="65" spans="1:2" x14ac:dyDescent="0.3">
      <c r="A65" s="4" t="s">
        <v>13</v>
      </c>
      <c r="B65" s="10">
        <v>52</v>
      </c>
    </row>
    <row r="66" spans="1:2" x14ac:dyDescent="0.3">
      <c r="A66" s="4" t="s">
        <v>20</v>
      </c>
      <c r="B66" s="10">
        <v>469</v>
      </c>
    </row>
    <row r="74" spans="1:2" x14ac:dyDescent="0.3">
      <c r="A74" s="2" t="s">
        <v>19</v>
      </c>
      <c r="B74" t="s">
        <v>26</v>
      </c>
    </row>
    <row r="75" spans="1:2" x14ac:dyDescent="0.3">
      <c r="A75" s="4" t="s">
        <v>6</v>
      </c>
      <c r="B75" s="10">
        <v>257</v>
      </c>
    </row>
    <row r="76" spans="1:2" x14ac:dyDescent="0.3">
      <c r="A76" s="4" t="s">
        <v>11</v>
      </c>
      <c r="B76" s="10">
        <v>212</v>
      </c>
    </row>
    <row r="77" spans="1:2" x14ac:dyDescent="0.3">
      <c r="A77" s="4" t="s">
        <v>20</v>
      </c>
      <c r="B77" s="10">
        <v>469</v>
      </c>
    </row>
    <row r="80" spans="1:2" x14ac:dyDescent="0.3">
      <c r="A80" s="2" t="s">
        <v>19</v>
      </c>
      <c r="B80" t="s">
        <v>27</v>
      </c>
    </row>
    <row r="81" spans="1:2" x14ac:dyDescent="0.3">
      <c r="A81" s="4" t="s">
        <v>15</v>
      </c>
      <c r="B81" s="10">
        <v>219</v>
      </c>
    </row>
    <row r="82" spans="1:2" x14ac:dyDescent="0.3">
      <c r="A82" s="4" t="s">
        <v>2</v>
      </c>
      <c r="B82" s="10">
        <v>250</v>
      </c>
    </row>
    <row r="83" spans="1:2" x14ac:dyDescent="0.3">
      <c r="A83" s="4" t="s">
        <v>20</v>
      </c>
      <c r="B83" s="10">
        <v>469</v>
      </c>
    </row>
    <row r="86" spans="1:2" x14ac:dyDescent="0.3">
      <c r="A86" s="2" t="s">
        <v>19</v>
      </c>
      <c r="B86" t="s">
        <v>35</v>
      </c>
    </row>
    <row r="87" spans="1:2" x14ac:dyDescent="0.3">
      <c r="A87" s="4" t="s">
        <v>3</v>
      </c>
      <c r="B87" s="10">
        <v>260</v>
      </c>
    </row>
    <row r="88" spans="1:2" x14ac:dyDescent="0.3">
      <c r="A88" s="4" t="s">
        <v>30</v>
      </c>
      <c r="B88" s="10">
        <v>107</v>
      </c>
    </row>
    <row r="89" spans="1:2" x14ac:dyDescent="0.3">
      <c r="A89" s="4" t="s">
        <v>32</v>
      </c>
      <c r="B89" s="10">
        <v>48</v>
      </c>
    </row>
    <row r="90" spans="1:2" x14ac:dyDescent="0.3">
      <c r="A90" s="4" t="s">
        <v>33</v>
      </c>
      <c r="B90" s="10">
        <v>17</v>
      </c>
    </row>
    <row r="91" spans="1:2" x14ac:dyDescent="0.3">
      <c r="A91" s="4" t="s">
        <v>28</v>
      </c>
      <c r="B91" s="10">
        <v>13</v>
      </c>
    </row>
    <row r="92" spans="1:2" x14ac:dyDescent="0.3">
      <c r="A92" s="4" t="s">
        <v>29</v>
      </c>
      <c r="B92" s="10">
        <v>11</v>
      </c>
    </row>
    <row r="93" spans="1:2" x14ac:dyDescent="0.3">
      <c r="A93" s="4" t="s">
        <v>31</v>
      </c>
      <c r="B93" s="10">
        <v>7</v>
      </c>
    </row>
    <row r="94" spans="1:2" x14ac:dyDescent="0.3">
      <c r="A94" s="4" t="s">
        <v>34</v>
      </c>
      <c r="B94" s="10">
        <v>6</v>
      </c>
    </row>
    <row r="95" spans="1:2" x14ac:dyDescent="0.3">
      <c r="A95" s="4" t="s">
        <v>20</v>
      </c>
      <c r="B95" s="10">
        <v>469</v>
      </c>
    </row>
    <row r="97" spans="1:1" x14ac:dyDescent="0.3">
      <c r="A97" s="2" t="s">
        <v>19</v>
      </c>
    </row>
    <row r="98" spans="1:1" x14ac:dyDescent="0.3">
      <c r="A98" s="4" t="s">
        <v>36</v>
      </c>
    </row>
    <row r="99" spans="1:1" x14ac:dyDescent="0.3">
      <c r="A99" s="4" t="s">
        <v>20</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F21E7-A242-4298-8F44-C9D02F1CA7ED}">
  <dimension ref="A1:AO47"/>
  <sheetViews>
    <sheetView tabSelected="1" zoomScale="101" workbookViewId="0">
      <selection activeCell="P5" sqref="P5"/>
    </sheetView>
  </sheetViews>
  <sheetFormatPr defaultRowHeight="14.4" x14ac:dyDescent="0.3"/>
  <cols>
    <col min="8" max="8" width="11" customWidth="1"/>
  </cols>
  <sheetData>
    <row r="1" spans="1:41" x14ac:dyDescent="0.3">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row>
    <row r="2" spans="1:41" x14ac:dyDescent="0.3">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row>
    <row r="3" spans="1:41"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row>
    <row r="4" spans="1:41" x14ac:dyDescent="0.3">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row>
    <row r="5" spans="1:41" x14ac:dyDescent="0.3">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row>
    <row r="6" spans="1:41" x14ac:dyDescent="0.3">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row>
    <row r="7" spans="1:41" x14ac:dyDescent="0.3">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row>
    <row r="8" spans="1:41" x14ac:dyDescent="0.3">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row>
    <row r="9" spans="1:41" x14ac:dyDescent="0.3">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row>
    <row r="10" spans="1:41" x14ac:dyDescent="0.3">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row>
    <row r="11" spans="1:41" x14ac:dyDescent="0.3">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row>
    <row r="12" spans="1:41" x14ac:dyDescent="0.3">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row>
    <row r="13" spans="1:41" x14ac:dyDescent="0.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row>
    <row r="14" spans="1:41" x14ac:dyDescent="0.3">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row>
    <row r="15" spans="1:41" x14ac:dyDescent="0.3">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row>
    <row r="16" spans="1:41" x14ac:dyDescent="0.3">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row>
    <row r="17" spans="1:41" x14ac:dyDescent="0.3">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row>
    <row r="18" spans="1:41" x14ac:dyDescent="0.3">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row>
    <row r="19" spans="1:41" x14ac:dyDescent="0.3">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row>
    <row r="20" spans="1:41" x14ac:dyDescent="0.3">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row>
    <row r="21" spans="1:41" x14ac:dyDescent="0.3">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row>
    <row r="22" spans="1:41" x14ac:dyDescent="0.3">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row>
    <row r="23" spans="1:41" x14ac:dyDescent="0.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row>
    <row r="24" spans="1:41" x14ac:dyDescent="0.3">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row>
    <row r="25" spans="1:41" x14ac:dyDescent="0.3">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row>
    <row r="26" spans="1:41" x14ac:dyDescent="0.3">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row>
    <row r="27" spans="1:41" x14ac:dyDescent="0.3">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row>
    <row r="28" spans="1:41" x14ac:dyDescent="0.3">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row>
    <row r="29" spans="1:41" x14ac:dyDescent="0.3">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row>
    <row r="30" spans="1:41" x14ac:dyDescent="0.3">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row>
    <row r="31" spans="1:41" x14ac:dyDescent="0.3">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row>
    <row r="32" spans="1:41" x14ac:dyDescent="0.3">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row>
    <row r="33" spans="1:41" x14ac:dyDescent="0.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row>
    <row r="34" spans="1:41"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row>
    <row r="35" spans="1:41" x14ac:dyDescent="0.3">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row>
    <row r="36" spans="1:41"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row>
    <row r="37" spans="1:41" x14ac:dyDescent="0.3">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row>
    <row r="38" spans="1:41" x14ac:dyDescent="0.3">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row>
    <row r="39" spans="1:41" x14ac:dyDescent="0.3">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row>
    <row r="40" spans="1:41" x14ac:dyDescent="0.3">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row>
    <row r="41" spans="1:41" x14ac:dyDescent="0.3">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row>
    <row r="42" spans="1:41" x14ac:dyDescent="0.3">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row>
    <row r="43" spans="1:41" x14ac:dyDescent="0.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row>
    <row r="44" spans="1:41" x14ac:dyDescent="0.3">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row>
    <row r="45" spans="1:41" x14ac:dyDescent="0.3">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row>
    <row r="46" spans="1:41" x14ac:dyDescent="0.3">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row>
    <row r="47" spans="1:41" x14ac:dyDescent="0.3">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DA4E4C9-A731-4BEF-9486-D3693726664E}">
  <ds:schemaRefs/>
</ds:datastoreItem>
</file>

<file path=customXml/itemProps2.xml><?xml version="1.0" encoding="utf-8"?>
<ds:datastoreItem xmlns:ds="http://schemas.openxmlformats.org/officeDocument/2006/customXml" ds:itemID="{23465219-AFA3-4C61-B0DE-EDF2BFD88987}">
  <ds:schemaRefs/>
</ds:datastoreItem>
</file>

<file path=customXml/itemProps3.xml><?xml version="1.0" encoding="utf-8"?>
<ds:datastoreItem xmlns:ds="http://schemas.openxmlformats.org/officeDocument/2006/customXml" ds:itemID="{58D6295C-D271-4E37-9945-7386A4AFC5A9}">
  <ds:schemaRefs/>
</ds:datastoreItem>
</file>

<file path=customXml/itemProps4.xml><?xml version="1.0" encoding="utf-8"?>
<ds:datastoreItem xmlns:ds="http://schemas.openxmlformats.org/officeDocument/2006/customXml" ds:itemID="{2184A70A-5DAE-4F32-971C-0CF6FA13212E}">
  <ds:schemaRefs/>
</ds:datastoreItem>
</file>

<file path=customXml/itemProps5.xml><?xml version="1.0" encoding="utf-8"?>
<ds:datastoreItem xmlns:ds="http://schemas.openxmlformats.org/officeDocument/2006/customXml" ds:itemID="{0189794E-4F50-4E14-A44D-D574926F8AE5}">
  <ds:schemaRefs/>
</ds:datastoreItem>
</file>

<file path=customXml/itemProps6.xml><?xml version="1.0" encoding="utf-8"?>
<ds:datastoreItem xmlns:ds="http://schemas.openxmlformats.org/officeDocument/2006/customXml" ds:itemID="{7796F79B-68EF-4D5F-B167-F07471AF8C39}">
  <ds:schemaRefs/>
</ds:datastoreItem>
</file>

<file path=customXml/itemProps7.xml><?xml version="1.0" encoding="utf-8"?>
<ds:datastoreItem xmlns:ds="http://schemas.openxmlformats.org/officeDocument/2006/customXml" ds:itemID="{50E79ACC-4342-4A72-9A1F-7A5F44142220}">
  <ds:schemaRefs/>
</ds:datastoreItem>
</file>

<file path=customXml/itemProps8.xml><?xml version="1.0" encoding="utf-8"?>
<ds:datastoreItem xmlns:ds="http://schemas.openxmlformats.org/officeDocument/2006/customXml" ds:itemID="{6BEDBDFD-1413-47E2-9FD5-290FABFD82F5}">
  <ds:schemaRefs/>
</ds:datastoreItem>
</file>

<file path=customXml/itemProps9.xml><?xml version="1.0" encoding="utf-8"?>
<ds:datastoreItem xmlns:ds="http://schemas.openxmlformats.org/officeDocument/2006/customXml" ds:itemID="{3EC86F62-B2B1-4DB6-AC4C-DE6A7D5454BB}">
  <ds:schemaRefs/>
</ds:datastoreItem>
</file>

<file path=customXml/itemProps10.xml><?xml version="1.0" encoding="utf-8"?>
<ds:datastoreItem xmlns:ds="http://schemas.openxmlformats.org/officeDocument/2006/customXml" ds:itemID="{0709ED6F-4BFE-4A22-BE56-10163246D158}">
  <ds:schemaRefs/>
</ds:datastoreItem>
</file>

<file path=customXml/itemProps11.xml><?xml version="1.0" encoding="utf-8"?>
<ds:datastoreItem xmlns:ds="http://schemas.openxmlformats.org/officeDocument/2006/customXml" ds:itemID="{46966223-F687-4690-9E6C-43A2B0401170}">
  <ds:schemaRefs/>
</ds:datastoreItem>
</file>

<file path=customXml/itemProps12.xml><?xml version="1.0" encoding="utf-8"?>
<ds:datastoreItem xmlns:ds="http://schemas.openxmlformats.org/officeDocument/2006/customXml" ds:itemID="{39E17C87-D8A3-4E2B-BE92-9A3A376CD73A}">
  <ds:schemaRefs>
    <ds:schemaRef ds:uri="http://schemas.microsoft.com/DataMashup"/>
  </ds:schemaRefs>
</ds:datastoreItem>
</file>

<file path=customXml/itemProps13.xml><?xml version="1.0" encoding="utf-8"?>
<ds:datastoreItem xmlns:ds="http://schemas.openxmlformats.org/officeDocument/2006/customXml" ds:itemID="{BC049103-8BF4-4617-A50D-73F6080ECB47}">
  <ds:schemaRefs/>
</ds:datastoreItem>
</file>

<file path=customXml/itemProps14.xml><?xml version="1.0" encoding="utf-8"?>
<ds:datastoreItem xmlns:ds="http://schemas.openxmlformats.org/officeDocument/2006/customXml" ds:itemID="{42D63F76-F1EB-4F94-BBA8-CD2198867E48}">
  <ds:schemaRefs/>
</ds:datastoreItem>
</file>

<file path=customXml/itemProps15.xml><?xml version="1.0" encoding="utf-8"?>
<ds:datastoreItem xmlns:ds="http://schemas.openxmlformats.org/officeDocument/2006/customXml" ds:itemID="{1F93E921-1AA0-4EE7-85F1-04426C2F9D42}">
  <ds:schemaRefs/>
</ds:datastoreItem>
</file>

<file path=customXml/itemProps16.xml><?xml version="1.0" encoding="utf-8"?>
<ds:datastoreItem xmlns:ds="http://schemas.openxmlformats.org/officeDocument/2006/customXml" ds:itemID="{F18B2C6D-960D-40D2-A01B-C9CD95677BF9}">
  <ds:schemaRefs/>
</ds:datastoreItem>
</file>

<file path=customXml/itemProps17.xml><?xml version="1.0" encoding="utf-8"?>
<ds:datastoreItem xmlns:ds="http://schemas.openxmlformats.org/officeDocument/2006/customXml" ds:itemID="{7CA0F6DC-A102-41CF-9BA0-354743171E49}">
  <ds:schemaRefs/>
</ds:datastoreItem>
</file>

<file path=customXml/itemProps18.xml><?xml version="1.0" encoding="utf-8"?>
<ds:datastoreItem xmlns:ds="http://schemas.openxmlformats.org/officeDocument/2006/customXml" ds:itemID="{4EDBC183-F8F9-4C4C-83D6-C2FEF3AF615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Piviot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Singh</dc:creator>
  <cp:lastModifiedBy>Harsh Singh</cp:lastModifiedBy>
  <cp:lastPrinted>2026-03-26T17:01:45Z</cp:lastPrinted>
  <dcterms:created xsi:type="dcterms:W3CDTF">2026-01-24T07:25:52Z</dcterms:created>
  <dcterms:modified xsi:type="dcterms:W3CDTF">2026-03-26T17:04:10Z</dcterms:modified>
</cp:coreProperties>
</file>